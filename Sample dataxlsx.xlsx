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2 Smart Manufacturing and Applied information science\2 Semester\Advance Statistical Quality Control\"/>
    </mc:Choice>
  </mc:AlternateContent>
  <xr:revisionPtr revIDLastSave="0" documentId="13_ncr:1_{E27B0D6E-79D4-41D8-A4BE-B1C232AD20EE}" xr6:coauthVersionLast="47" xr6:coauthVersionMax="47" xr10:uidLastSave="{00000000-0000-0000-0000-000000000000}"/>
  <bookViews>
    <workbookView xWindow="11424" yWindow="0" windowWidth="11712" windowHeight="13776" activeTab="1" xr2:uid="{E9B4DBE7-7145-4880-9E7C-D6384306006F}"/>
  </bookViews>
  <sheets>
    <sheet name="CUSUM Chart" sheetId="3" r:id="rId1"/>
    <sheet name="xbar " sheetId="1" r:id="rId2"/>
    <sheet name="MR Chart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7" i="4" l="1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0" i="4"/>
  <c r="B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22" i="4"/>
  <c r="B55" i="4" s="1"/>
  <c r="B22" i="4"/>
  <c r="B26" i="4" s="1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D2" i="3"/>
  <c r="D3" i="3" s="1"/>
  <c r="D4" i="3" s="1"/>
  <c r="D5" i="3" s="1"/>
  <c r="D6" i="3" s="1"/>
  <c r="D7" i="3" s="1"/>
  <c r="D8" i="3" s="1"/>
  <c r="D9" i="3" s="1"/>
  <c r="D10" i="3" s="1"/>
  <c r="D11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B54" i="4" l="1"/>
  <c r="B27" i="4"/>
</calcChain>
</file>

<file path=xl/sharedStrings.xml><?xml version="1.0" encoding="utf-8"?>
<sst xmlns="http://schemas.openxmlformats.org/spreadsheetml/2006/main" count="71" uniqueCount="53">
  <si>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</si>
  <si>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</si>
  <si>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</si>
  <si>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</si>
  <si>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</si>
  <si>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</si>
  <si>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</si>
  <si>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</si>
  <si>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</si>
  <si>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</si>
  <si>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</si>
  <si>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</si>
  <si>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</si>
  <si>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</si>
  <si>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</si>
  <si>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</si>
  <si>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</si>
  <si>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</si>
  <si>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</si>
  <si>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</si>
  <si>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i</t>
  </si>
  <si>
    <t>xi</t>
  </si>
  <si>
    <t>C+</t>
  </si>
  <si>
    <t>C-</t>
  </si>
  <si>
    <t>h-</t>
  </si>
  <si>
    <t>h+</t>
  </si>
  <si>
    <r>
      <t xml:space="preserve">Target Mean </t>
    </r>
    <r>
      <rPr>
        <sz val="11"/>
        <color theme="1"/>
        <rFont val="Aptos Narrow"/>
        <family val="2"/>
      </rPr>
      <t>µ</t>
    </r>
    <r>
      <rPr>
        <sz val="11"/>
        <color theme="1"/>
        <rFont val="Aptos Narrow"/>
        <family val="2"/>
        <scheme val="minor"/>
      </rPr>
      <t>o</t>
    </r>
  </si>
  <si>
    <t>standard deviation</t>
  </si>
  <si>
    <t>detecting shift</t>
  </si>
  <si>
    <t>k</t>
  </si>
  <si>
    <t>h</t>
  </si>
  <si>
    <t>CUSUM upward On 9th and 10th data higer than upper decision limit</t>
  </si>
  <si>
    <t xml:space="preserve">week </t>
  </si>
  <si>
    <t>cost x</t>
  </si>
  <si>
    <t>Range</t>
  </si>
  <si>
    <t>Xbar</t>
  </si>
  <si>
    <t>UCL</t>
  </si>
  <si>
    <t>LCL</t>
  </si>
  <si>
    <t>List of constant for n2</t>
  </si>
  <si>
    <t>d2</t>
  </si>
  <si>
    <t>D4</t>
  </si>
  <si>
    <t>D3</t>
  </si>
  <si>
    <t>xbar</t>
  </si>
  <si>
    <t>MR bar</t>
  </si>
  <si>
    <t>Xbar MR chart</t>
  </si>
  <si>
    <t>Rbar</t>
  </si>
  <si>
    <t>MR chart</t>
  </si>
  <si>
    <t>XMR Chart</t>
  </si>
  <si>
    <t>MR CHART</t>
  </si>
  <si>
    <t>Week</t>
  </si>
  <si>
    <t>range</t>
  </si>
  <si>
    <t>On  X sample 39-40 have data higher than UCL</t>
  </si>
  <si>
    <t>On the MR 39th have data higher than UCL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</si>
</sst>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0.0"/>
  </numFmts>
  <fonts count="4">
    <font>
      <sz val="11"/>
      <color theme="1"/>
      <name val="Aptos Narrow"/>
      <family val="2"/>
      <scheme val="minor"/>
    </font>
    <font>
      <sz val="12"/>
      <color theme="1"/>
      <name val="Microsoft JhengHei"/>
      <family val="2"/>
      <charset val="136"/>
    </font>
    <font>
      <sz val="8"/>
      <name val="Aptos Narrow"/>
      <family val="2"/>
      <scheme val="minor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3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/>
    <xf numFmtId="0" fontId="0" fillId="4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CUSUM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CUSUM + (Upward)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'CUSUM Chart'!$C$2:$C$11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0.10000000000000142</c:v>
                </c:pt>
                <c:pt idx="3">
                  <c:v>0.60000000000000142</c:v>
                </c:pt>
                <c:pt idx="4">
                  <c:v>1.3000000000000043</c:v>
                </c:pt>
                <c:pt idx="5">
                  <c:v>2.3000000000000043</c:v>
                </c:pt>
                <c:pt idx="6">
                  <c:v>3.2000000000000028</c:v>
                </c:pt>
                <c:pt idx="7">
                  <c:v>4</c:v>
                </c:pt>
                <c:pt idx="8">
                  <c:v>5.1000000000000014</c:v>
                </c:pt>
                <c:pt idx="9">
                  <c:v>6.3999999999999986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D-4161-8D77-283B88D85DCC}"/>
            </c:ext>
          </c:extLst>
        </c:ser>
        <c:ser>
          <c:idx val="1"/>
          <c:order val="1"/>
          <c:tx>
            <c:v>CUSUM- (downward)</c:v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'CUSUM Chart'!$D$2:$D$11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6D-4161-8D77-283B88D85DCC}"/>
            </c:ext>
          </c:extLst>
        </c:ser>
        <c:ser>
          <c:idx val="2"/>
          <c:order val="2"/>
          <c:tx>
            <c:v>Upper Decision Limit (h+)</c:v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'CUSUM Chart'!$E$2:$E$11</c:f>
              <c:numCache>
                <c:formatCode>General</c:formatCode>
                <c:ptCount val="10"/>
                <c:pt idx="0">
                  <c:v>-5</c:v>
                </c:pt>
                <c:pt idx="1">
                  <c:v>-5</c:v>
                </c:pt>
                <c:pt idx="2">
                  <c:v>-5</c:v>
                </c:pt>
                <c:pt idx="3">
                  <c:v>-5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-5</c:v>
                </c:pt>
                <c:pt idx="8">
                  <c:v>-5</c:v>
                </c:pt>
                <c:pt idx="9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6D-4161-8D77-283B88D85DCC}"/>
            </c:ext>
          </c:extLst>
        </c:ser>
        <c:ser>
          <c:idx val="3"/>
          <c:order val="3"/>
          <c:tx>
            <c:v>Lower Decision Limit (h-)</c:v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'CUSUM Chart'!$F$2:$F$11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6D-4161-8D77-283B88D8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6890591"/>
        <c:axId val="1116891071"/>
      </c:lineChart>
      <c:catAx>
        <c:axId val="1116890591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91071"/>
        <c:crosses val="autoZero"/>
        <c:auto val="1"/>
        <c:lblAlgn val="ctr"/>
        <c:lblOffset val="100"/>
        <c:noMultiLvlLbl val="0"/>
      </c:catAx>
      <c:valAx>
        <c:axId val="111689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90591"/>
        <c:crosses val="autoZero"/>
        <c:crossBetween val="between"/>
      </c:valAx>
      <c:spPr>
        <a:noFill/>
        <a:ln>
          <a:solidFill>
            <a:schemeClr val="accent4"/>
          </a:solidFill>
          <a:prstDash val="sysDot"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XBar</a:t>
            </a:r>
            <a:r>
              <a:rPr lang="en-US" baseline="0"/>
              <a:t> MR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'MR Chart'!$B$2:$B$21</c:f>
              <c:numCache>
                <c:formatCode>General</c:formatCode>
                <c:ptCount val="20"/>
                <c:pt idx="0">
                  <c:v>310</c:v>
                </c:pt>
                <c:pt idx="1">
                  <c:v>288</c:v>
                </c:pt>
                <c:pt idx="2">
                  <c:v>297</c:v>
                </c:pt>
                <c:pt idx="3">
                  <c:v>298</c:v>
                </c:pt>
                <c:pt idx="4">
                  <c:v>307</c:v>
                </c:pt>
                <c:pt idx="5">
                  <c:v>303</c:v>
                </c:pt>
                <c:pt idx="6">
                  <c:v>294</c:v>
                </c:pt>
                <c:pt idx="7">
                  <c:v>297</c:v>
                </c:pt>
                <c:pt idx="8">
                  <c:v>308</c:v>
                </c:pt>
                <c:pt idx="9">
                  <c:v>306</c:v>
                </c:pt>
                <c:pt idx="10">
                  <c:v>294</c:v>
                </c:pt>
                <c:pt idx="11">
                  <c:v>299</c:v>
                </c:pt>
                <c:pt idx="12">
                  <c:v>297</c:v>
                </c:pt>
                <c:pt idx="13">
                  <c:v>299</c:v>
                </c:pt>
                <c:pt idx="14">
                  <c:v>314</c:v>
                </c:pt>
                <c:pt idx="15">
                  <c:v>295</c:v>
                </c:pt>
                <c:pt idx="16">
                  <c:v>293</c:v>
                </c:pt>
                <c:pt idx="17">
                  <c:v>306</c:v>
                </c:pt>
                <c:pt idx="18">
                  <c:v>301</c:v>
                </c:pt>
                <c:pt idx="19">
                  <c:v>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53-4DE0-ACD8-62C2F3B1C400}"/>
            </c:ext>
          </c:extLst>
        </c:ser>
        <c:ser>
          <c:idx val="1"/>
          <c:order val="1"/>
          <c:tx>
            <c:v>Xbar</c:v>
          </c:tx>
          <c:spPr>
            <a:ln w="9525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'MR Chart'!$D$2:$D$21</c:f>
              <c:numCache>
                <c:formatCode>0.00</c:formatCode>
                <c:ptCount val="20"/>
                <c:pt idx="0">
                  <c:v>300.5</c:v>
                </c:pt>
                <c:pt idx="1">
                  <c:v>300.5</c:v>
                </c:pt>
                <c:pt idx="2">
                  <c:v>300.5</c:v>
                </c:pt>
                <c:pt idx="3">
                  <c:v>300.5</c:v>
                </c:pt>
                <c:pt idx="4">
                  <c:v>300.5</c:v>
                </c:pt>
                <c:pt idx="5">
                  <c:v>300.5</c:v>
                </c:pt>
                <c:pt idx="6">
                  <c:v>300.5</c:v>
                </c:pt>
                <c:pt idx="7">
                  <c:v>300.5</c:v>
                </c:pt>
                <c:pt idx="8">
                  <c:v>300.5</c:v>
                </c:pt>
                <c:pt idx="9">
                  <c:v>300.5</c:v>
                </c:pt>
                <c:pt idx="10">
                  <c:v>300.5</c:v>
                </c:pt>
                <c:pt idx="11">
                  <c:v>300.5</c:v>
                </c:pt>
                <c:pt idx="12">
                  <c:v>300.5</c:v>
                </c:pt>
                <c:pt idx="13">
                  <c:v>300.5</c:v>
                </c:pt>
                <c:pt idx="14">
                  <c:v>300.5</c:v>
                </c:pt>
                <c:pt idx="15">
                  <c:v>300.5</c:v>
                </c:pt>
                <c:pt idx="16">
                  <c:v>300.5</c:v>
                </c:pt>
                <c:pt idx="17">
                  <c:v>300.5</c:v>
                </c:pt>
                <c:pt idx="18">
                  <c:v>300.5</c:v>
                </c:pt>
                <c:pt idx="19">
                  <c:v>300.5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53-4DE0-ACD8-62C2F3B1C400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'MR Chart'!$E$2:$E$21</c:f>
              <c:numCache>
                <c:formatCode>0.00</c:formatCode>
                <c:ptCount val="20"/>
                <c:pt idx="0">
                  <c:v>321.21668533034716</c:v>
                </c:pt>
                <c:pt idx="1">
                  <c:v>321.21668533034716</c:v>
                </c:pt>
                <c:pt idx="2">
                  <c:v>321.21668533034716</c:v>
                </c:pt>
                <c:pt idx="3">
                  <c:v>321.21668533034716</c:v>
                </c:pt>
                <c:pt idx="4">
                  <c:v>321.21668533034716</c:v>
                </c:pt>
                <c:pt idx="5">
                  <c:v>321.21668533034716</c:v>
                </c:pt>
                <c:pt idx="6">
                  <c:v>321.21668533034716</c:v>
                </c:pt>
                <c:pt idx="7">
                  <c:v>321.21668533034716</c:v>
                </c:pt>
                <c:pt idx="8">
                  <c:v>321.21668533034716</c:v>
                </c:pt>
                <c:pt idx="9">
                  <c:v>321.21668533034716</c:v>
                </c:pt>
                <c:pt idx="10">
                  <c:v>321.21668533034716</c:v>
                </c:pt>
                <c:pt idx="11">
                  <c:v>321.21668533034716</c:v>
                </c:pt>
                <c:pt idx="12">
                  <c:v>321.21668533034716</c:v>
                </c:pt>
                <c:pt idx="13">
                  <c:v>321.21668533034716</c:v>
                </c:pt>
                <c:pt idx="14">
                  <c:v>321.21668533034716</c:v>
                </c:pt>
                <c:pt idx="15">
                  <c:v>321.21668533034716</c:v>
                </c:pt>
                <c:pt idx="16">
                  <c:v>321.21668533034716</c:v>
                </c:pt>
                <c:pt idx="17">
                  <c:v>321.21668533034716</c:v>
                </c:pt>
                <c:pt idx="18">
                  <c:v>321.21668533034716</c:v>
                </c:pt>
                <c:pt idx="19">
                  <c:v>321.21668533034716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53-4DE0-ACD8-62C2F3B1C400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'MR Chart'!$F$2:$F$21</c:f>
              <c:numCache>
                <c:formatCode>0.00</c:formatCode>
                <c:ptCount val="20"/>
                <c:pt idx="0">
                  <c:v>279.78331466965284</c:v>
                </c:pt>
                <c:pt idx="1">
                  <c:v>279.78331466965284</c:v>
                </c:pt>
                <c:pt idx="2">
                  <c:v>279.78331466965284</c:v>
                </c:pt>
                <c:pt idx="3">
                  <c:v>279.78331466965284</c:v>
                </c:pt>
                <c:pt idx="4">
                  <c:v>279.78331466965284</c:v>
                </c:pt>
                <c:pt idx="5">
                  <c:v>279.78331466965284</c:v>
                </c:pt>
                <c:pt idx="6">
                  <c:v>279.78331466965284</c:v>
                </c:pt>
                <c:pt idx="7">
                  <c:v>279.78331466965284</c:v>
                </c:pt>
                <c:pt idx="8">
                  <c:v>279.78331466965284</c:v>
                </c:pt>
                <c:pt idx="9">
                  <c:v>279.78331466965284</c:v>
                </c:pt>
                <c:pt idx="10">
                  <c:v>279.78331466965284</c:v>
                </c:pt>
                <c:pt idx="11">
                  <c:v>279.78331466965284</c:v>
                </c:pt>
                <c:pt idx="12">
                  <c:v>279.78331466965284</c:v>
                </c:pt>
                <c:pt idx="13">
                  <c:v>279.78331466965284</c:v>
                </c:pt>
                <c:pt idx="14">
                  <c:v>279.78331466965284</c:v>
                </c:pt>
                <c:pt idx="15">
                  <c:v>279.78331466965284</c:v>
                </c:pt>
                <c:pt idx="16">
                  <c:v>279.78331466965284</c:v>
                </c:pt>
                <c:pt idx="17">
                  <c:v>279.78331466965284</c:v>
                </c:pt>
                <c:pt idx="18">
                  <c:v>279.78331466965284</c:v>
                </c:pt>
                <c:pt idx="19">
                  <c:v>279.78331466965284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53-4DE0-ACD8-62C2F3B1C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5635567"/>
        <c:axId val="1114683759"/>
      </c:lineChart>
      <c:catAx>
        <c:axId val="189563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683759"/>
        <c:crosses val="autoZero"/>
        <c:auto val="1"/>
        <c:lblAlgn val="ctr"/>
        <c:lblOffset val="100"/>
        <c:noMultiLvlLbl val="0"/>
      </c:catAx>
      <c:valAx>
        <c:axId val="1114683759"/>
        <c:scaling>
          <c:orientation val="minMax"/>
          <c:min val="2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63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9367405629361675E-2"/>
          <c:y val="0.16421465063573157"/>
          <c:w val="0.78336916725785222"/>
          <c:h val="0.66063101475846842"/>
        </c:manualLayout>
      </c:layout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'MR Chart'!$C$30:$C$49</c:f>
              <c:numCache>
                <c:formatCode>General</c:formatCode>
                <c:ptCount val="20"/>
                <c:pt idx="1">
                  <c:v>22</c:v>
                </c:pt>
                <c:pt idx="2">
                  <c:v>9</c:v>
                </c:pt>
                <c:pt idx="3">
                  <c:v>1</c:v>
                </c:pt>
                <c:pt idx="4">
                  <c:v>9</c:v>
                </c:pt>
                <c:pt idx="5">
                  <c:v>4</c:v>
                </c:pt>
                <c:pt idx="6">
                  <c:v>9</c:v>
                </c:pt>
                <c:pt idx="7">
                  <c:v>3</c:v>
                </c:pt>
                <c:pt idx="8">
                  <c:v>11</c:v>
                </c:pt>
                <c:pt idx="9">
                  <c:v>2</c:v>
                </c:pt>
                <c:pt idx="10">
                  <c:v>12</c:v>
                </c:pt>
                <c:pt idx="11">
                  <c:v>5</c:v>
                </c:pt>
                <c:pt idx="12">
                  <c:v>2</c:v>
                </c:pt>
                <c:pt idx="13">
                  <c:v>2</c:v>
                </c:pt>
                <c:pt idx="14">
                  <c:v>15</c:v>
                </c:pt>
                <c:pt idx="15">
                  <c:v>19</c:v>
                </c:pt>
                <c:pt idx="16">
                  <c:v>2</c:v>
                </c:pt>
                <c:pt idx="17">
                  <c:v>13</c:v>
                </c:pt>
                <c:pt idx="18">
                  <c:v>5</c:v>
                </c:pt>
                <c:pt idx="1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1D-49E2-98E5-7F5EB79640E8}"/>
            </c:ext>
          </c:extLst>
        </c:ser>
        <c:ser>
          <c:idx val="1"/>
          <c:order val="1"/>
          <c:tx>
            <c:v>RBar</c:v>
          </c:tx>
          <c:spPr>
            <a:ln w="127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'MR Chart'!$D$30:$D$49</c:f>
              <c:numCache>
                <c:formatCode>0.00</c:formatCode>
                <c:ptCount val="20"/>
                <c:pt idx="0">
                  <c:v>7.7894736842105265</c:v>
                </c:pt>
                <c:pt idx="1">
                  <c:v>7.7894736842105265</c:v>
                </c:pt>
                <c:pt idx="2">
                  <c:v>7.7894736842105265</c:v>
                </c:pt>
                <c:pt idx="3">
                  <c:v>7.7894736842105265</c:v>
                </c:pt>
                <c:pt idx="4">
                  <c:v>7.7894736842105265</c:v>
                </c:pt>
                <c:pt idx="5">
                  <c:v>7.7894736842105265</c:v>
                </c:pt>
                <c:pt idx="6">
                  <c:v>7.7894736842105265</c:v>
                </c:pt>
                <c:pt idx="7">
                  <c:v>7.7894736842105265</c:v>
                </c:pt>
                <c:pt idx="8">
                  <c:v>7.7894736842105265</c:v>
                </c:pt>
                <c:pt idx="9">
                  <c:v>7.7894736842105265</c:v>
                </c:pt>
                <c:pt idx="10">
                  <c:v>7.7894736842105265</c:v>
                </c:pt>
                <c:pt idx="11">
                  <c:v>7.7894736842105265</c:v>
                </c:pt>
                <c:pt idx="12">
                  <c:v>7.7894736842105265</c:v>
                </c:pt>
                <c:pt idx="13">
                  <c:v>7.7894736842105265</c:v>
                </c:pt>
                <c:pt idx="14">
                  <c:v>7.7894736842105265</c:v>
                </c:pt>
                <c:pt idx="15">
                  <c:v>7.7894736842105265</c:v>
                </c:pt>
                <c:pt idx="16">
                  <c:v>7.7894736842105265</c:v>
                </c:pt>
                <c:pt idx="17">
                  <c:v>7.7894736842105265</c:v>
                </c:pt>
                <c:pt idx="18">
                  <c:v>7.7894736842105265</c:v>
                </c:pt>
                <c:pt idx="19">
                  <c:v>7.7894736842105265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1D-49E2-98E5-7F5EB79640E8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'MR Chart'!$E$30:$E$49</c:f>
              <c:numCache>
                <c:formatCode>0.00</c:formatCode>
                <c:ptCount val="20"/>
                <c:pt idx="0">
                  <c:v>25.448210526315791</c:v>
                </c:pt>
                <c:pt idx="1">
                  <c:v>25.448210526315791</c:v>
                </c:pt>
                <c:pt idx="2">
                  <c:v>25.448210526315791</c:v>
                </c:pt>
                <c:pt idx="3">
                  <c:v>25.448210526315791</c:v>
                </c:pt>
                <c:pt idx="4">
                  <c:v>25.448210526315791</c:v>
                </c:pt>
                <c:pt idx="5">
                  <c:v>25.448210526315791</c:v>
                </c:pt>
                <c:pt idx="6">
                  <c:v>25.448210526315791</c:v>
                </c:pt>
                <c:pt idx="7">
                  <c:v>25.448210526315791</c:v>
                </c:pt>
                <c:pt idx="8">
                  <c:v>25.448210526315791</c:v>
                </c:pt>
                <c:pt idx="9">
                  <c:v>25.448210526315791</c:v>
                </c:pt>
                <c:pt idx="10">
                  <c:v>25.448210526315791</c:v>
                </c:pt>
                <c:pt idx="11">
                  <c:v>25.448210526315791</c:v>
                </c:pt>
                <c:pt idx="12">
                  <c:v>25.448210526315791</c:v>
                </c:pt>
                <c:pt idx="13">
                  <c:v>25.448210526315791</c:v>
                </c:pt>
                <c:pt idx="14">
                  <c:v>25.448210526315791</c:v>
                </c:pt>
                <c:pt idx="15">
                  <c:v>25.448210526315791</c:v>
                </c:pt>
                <c:pt idx="16">
                  <c:v>25.448210526315791</c:v>
                </c:pt>
                <c:pt idx="17">
                  <c:v>25.448210526315791</c:v>
                </c:pt>
                <c:pt idx="18">
                  <c:v>25.448210526315791</c:v>
                </c:pt>
                <c:pt idx="19">
                  <c:v>25.448210526315791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D-49E2-98E5-7F5EB79640E8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'MR Chart'!$F$30:$F$49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D-49E2-98E5-7F5EB7964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1324080"/>
        <c:axId val="1021324560"/>
      </c:lineChart>
      <c:catAx>
        <c:axId val="1021324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324560"/>
        <c:crosses val="autoZero"/>
        <c:auto val="1"/>
        <c:lblAlgn val="ctr"/>
        <c:lblOffset val="100"/>
        <c:noMultiLvlLbl val="0"/>
      </c:catAx>
      <c:valAx>
        <c:axId val="10213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32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8572657665694936"/>
          <c:y val="0.39142107574481871"/>
          <c:w val="0.11480993728211197"/>
          <c:h val="0.29666296727334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XBar</a:t>
            </a:r>
            <a:r>
              <a:rPr lang="en-US" baseline="0"/>
              <a:t> chart 21-40 weeks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Chart'!$B$58:$B$77</c:f>
              <c:numCache>
                <c:formatCode>General</c:formatCode>
                <c:ptCount val="20"/>
                <c:pt idx="0">
                  <c:v>305</c:v>
                </c:pt>
                <c:pt idx="1">
                  <c:v>282</c:v>
                </c:pt>
                <c:pt idx="2">
                  <c:v>305</c:v>
                </c:pt>
                <c:pt idx="3">
                  <c:v>296</c:v>
                </c:pt>
                <c:pt idx="4">
                  <c:v>314</c:v>
                </c:pt>
                <c:pt idx="5">
                  <c:v>295</c:v>
                </c:pt>
                <c:pt idx="6">
                  <c:v>287</c:v>
                </c:pt>
                <c:pt idx="7">
                  <c:v>301</c:v>
                </c:pt>
                <c:pt idx="8">
                  <c:v>298</c:v>
                </c:pt>
                <c:pt idx="9">
                  <c:v>311</c:v>
                </c:pt>
                <c:pt idx="10">
                  <c:v>310</c:v>
                </c:pt>
                <c:pt idx="11">
                  <c:v>292</c:v>
                </c:pt>
                <c:pt idx="12">
                  <c:v>305</c:v>
                </c:pt>
                <c:pt idx="13">
                  <c:v>299</c:v>
                </c:pt>
                <c:pt idx="14">
                  <c:v>304</c:v>
                </c:pt>
                <c:pt idx="15">
                  <c:v>310</c:v>
                </c:pt>
                <c:pt idx="16">
                  <c:v>304</c:v>
                </c:pt>
                <c:pt idx="17">
                  <c:v>305</c:v>
                </c:pt>
                <c:pt idx="18">
                  <c:v>333</c:v>
                </c:pt>
                <c:pt idx="19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D-4E1A-9622-8BA1CB57B3E0}"/>
            </c:ext>
          </c:extLst>
        </c:ser>
        <c:ser>
          <c:idx val="1"/>
          <c:order val="1"/>
          <c:tx>
            <c:v>Xbar</c:v>
          </c:tx>
          <c:spPr>
            <a:ln w="127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Chart'!$D$58:$D$77</c:f>
              <c:numCache>
                <c:formatCode>0.00</c:formatCode>
                <c:ptCount val="20"/>
                <c:pt idx="0">
                  <c:v>300.5</c:v>
                </c:pt>
                <c:pt idx="1">
                  <c:v>300.5</c:v>
                </c:pt>
                <c:pt idx="2">
                  <c:v>300.5</c:v>
                </c:pt>
                <c:pt idx="3">
                  <c:v>300.5</c:v>
                </c:pt>
                <c:pt idx="4">
                  <c:v>300.5</c:v>
                </c:pt>
                <c:pt idx="5">
                  <c:v>300.5</c:v>
                </c:pt>
                <c:pt idx="6">
                  <c:v>300.5</c:v>
                </c:pt>
                <c:pt idx="7">
                  <c:v>300.5</c:v>
                </c:pt>
                <c:pt idx="8">
                  <c:v>300.5</c:v>
                </c:pt>
                <c:pt idx="9">
                  <c:v>300.5</c:v>
                </c:pt>
                <c:pt idx="10">
                  <c:v>300.5</c:v>
                </c:pt>
                <c:pt idx="11">
                  <c:v>300.5</c:v>
                </c:pt>
                <c:pt idx="12">
                  <c:v>300.5</c:v>
                </c:pt>
                <c:pt idx="13">
                  <c:v>300.5</c:v>
                </c:pt>
                <c:pt idx="14">
                  <c:v>300.5</c:v>
                </c:pt>
                <c:pt idx="15">
                  <c:v>300.5</c:v>
                </c:pt>
                <c:pt idx="16">
                  <c:v>300.5</c:v>
                </c:pt>
                <c:pt idx="17">
                  <c:v>300.5</c:v>
                </c:pt>
                <c:pt idx="18">
                  <c:v>300.5</c:v>
                </c:pt>
                <c:pt idx="19">
                  <c:v>300.5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D-4E1A-9622-8BA1CB57B3E0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Chart'!$E$58:$E$77</c:f>
              <c:numCache>
                <c:formatCode>0.00</c:formatCode>
                <c:ptCount val="20"/>
                <c:pt idx="0">
                  <c:v>321.21668533034716</c:v>
                </c:pt>
                <c:pt idx="1">
                  <c:v>321.21668533034716</c:v>
                </c:pt>
                <c:pt idx="2">
                  <c:v>321.21668533034716</c:v>
                </c:pt>
                <c:pt idx="3">
                  <c:v>321.21668533034716</c:v>
                </c:pt>
                <c:pt idx="4">
                  <c:v>321.21668533034716</c:v>
                </c:pt>
                <c:pt idx="5">
                  <c:v>321.21668533034716</c:v>
                </c:pt>
                <c:pt idx="6">
                  <c:v>321.21668533034716</c:v>
                </c:pt>
                <c:pt idx="7">
                  <c:v>321.21668533034716</c:v>
                </c:pt>
                <c:pt idx="8">
                  <c:v>321.21668533034716</c:v>
                </c:pt>
                <c:pt idx="9">
                  <c:v>321.21668533034716</c:v>
                </c:pt>
                <c:pt idx="10">
                  <c:v>321.21668533034716</c:v>
                </c:pt>
                <c:pt idx="11">
                  <c:v>321.21668533034716</c:v>
                </c:pt>
                <c:pt idx="12">
                  <c:v>321.21668533034716</c:v>
                </c:pt>
                <c:pt idx="13">
                  <c:v>321.21668533034716</c:v>
                </c:pt>
                <c:pt idx="14">
                  <c:v>321.21668533034716</c:v>
                </c:pt>
                <c:pt idx="15">
                  <c:v>321.21668533034716</c:v>
                </c:pt>
                <c:pt idx="16">
                  <c:v>321.21668533034716</c:v>
                </c:pt>
                <c:pt idx="17">
                  <c:v>321.21668533034716</c:v>
                </c:pt>
                <c:pt idx="18">
                  <c:v>321.21668533034716</c:v>
                </c:pt>
                <c:pt idx="19">
                  <c:v>321.21668533034716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D-4E1A-9622-8BA1CB57B3E0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Chart'!$F$58:$F$77</c:f>
              <c:numCache>
                <c:formatCode>0.00</c:formatCode>
                <c:ptCount val="20"/>
                <c:pt idx="0">
                  <c:v>279.78331466965284</c:v>
                </c:pt>
                <c:pt idx="1">
                  <c:v>279.78331466965284</c:v>
                </c:pt>
                <c:pt idx="2">
                  <c:v>279.78331466965284</c:v>
                </c:pt>
                <c:pt idx="3">
                  <c:v>279.78331466965284</c:v>
                </c:pt>
                <c:pt idx="4">
                  <c:v>279.78331466965284</c:v>
                </c:pt>
                <c:pt idx="5">
                  <c:v>279.78331466965284</c:v>
                </c:pt>
                <c:pt idx="6">
                  <c:v>279.78331466965284</c:v>
                </c:pt>
                <c:pt idx="7">
                  <c:v>279.78331466965284</c:v>
                </c:pt>
                <c:pt idx="8">
                  <c:v>279.78331466965284</c:v>
                </c:pt>
                <c:pt idx="9">
                  <c:v>279.78331466965284</c:v>
                </c:pt>
                <c:pt idx="10">
                  <c:v>279.78331466965284</c:v>
                </c:pt>
                <c:pt idx="11">
                  <c:v>279.78331466965284</c:v>
                </c:pt>
                <c:pt idx="12">
                  <c:v>279.78331466965284</c:v>
                </c:pt>
                <c:pt idx="13">
                  <c:v>279.78331466965284</c:v>
                </c:pt>
                <c:pt idx="14">
                  <c:v>279.78331466965284</c:v>
                </c:pt>
                <c:pt idx="15">
                  <c:v>279.78331466965284</c:v>
                </c:pt>
                <c:pt idx="16">
                  <c:v>279.78331466965284</c:v>
                </c:pt>
                <c:pt idx="17">
                  <c:v>279.78331466965284</c:v>
                </c:pt>
                <c:pt idx="18">
                  <c:v>279.78331466965284</c:v>
                </c:pt>
                <c:pt idx="19">
                  <c:v>279.78331466965284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D-4E1A-9622-8BA1CB57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9262831"/>
        <c:axId val="1259275791"/>
      </c:lineChart>
      <c:catAx>
        <c:axId val="1259262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275791"/>
        <c:crosses val="autoZero"/>
        <c:auto val="1"/>
        <c:lblAlgn val="ctr"/>
        <c:lblOffset val="100"/>
        <c:noMultiLvlLbl val="0"/>
      </c:catAx>
      <c:valAx>
        <c:axId val="1259275791"/>
        <c:scaling>
          <c:orientation val="minMax"/>
          <c:max val="340"/>
          <c:min val="2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26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MR</a:t>
            </a:r>
            <a:r>
              <a:rPr lang="en-US" baseline="0"/>
              <a:t> chart 21-40 weeks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Chart'!$C$58:$C$77</c:f>
              <c:numCache>
                <c:formatCode>General</c:formatCode>
                <c:ptCount val="20"/>
                <c:pt idx="1">
                  <c:v>23</c:v>
                </c:pt>
                <c:pt idx="2">
                  <c:v>23</c:v>
                </c:pt>
                <c:pt idx="3">
                  <c:v>9</c:v>
                </c:pt>
                <c:pt idx="4">
                  <c:v>18</c:v>
                </c:pt>
                <c:pt idx="5">
                  <c:v>19</c:v>
                </c:pt>
                <c:pt idx="6">
                  <c:v>8</c:v>
                </c:pt>
                <c:pt idx="7">
                  <c:v>14</c:v>
                </c:pt>
                <c:pt idx="8">
                  <c:v>3</c:v>
                </c:pt>
                <c:pt idx="9">
                  <c:v>13</c:v>
                </c:pt>
                <c:pt idx="10">
                  <c:v>1</c:v>
                </c:pt>
                <c:pt idx="11">
                  <c:v>18</c:v>
                </c:pt>
                <c:pt idx="12">
                  <c:v>13</c:v>
                </c:pt>
                <c:pt idx="13">
                  <c:v>6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1</c:v>
                </c:pt>
                <c:pt idx="18">
                  <c:v>28</c:v>
                </c:pt>
                <c:pt idx="1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C-4206-B92F-0FAC7A0AFDBA}"/>
            </c:ext>
          </c:extLst>
        </c:ser>
        <c:ser>
          <c:idx val="1"/>
          <c:order val="1"/>
          <c:tx>
            <c:v>Rbar</c:v>
          </c:tx>
          <c:spPr>
            <a:ln w="127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Chart'!$G$58:$G$77</c:f>
              <c:numCache>
                <c:formatCode>0.00</c:formatCode>
                <c:ptCount val="20"/>
                <c:pt idx="0">
                  <c:v>7.7894736842105265</c:v>
                </c:pt>
                <c:pt idx="1">
                  <c:v>7.7894736842105265</c:v>
                </c:pt>
                <c:pt idx="2">
                  <c:v>7.7894736842105265</c:v>
                </c:pt>
                <c:pt idx="3">
                  <c:v>7.7894736842105265</c:v>
                </c:pt>
                <c:pt idx="4">
                  <c:v>7.7894736842105265</c:v>
                </c:pt>
                <c:pt idx="5">
                  <c:v>7.7894736842105265</c:v>
                </c:pt>
                <c:pt idx="6">
                  <c:v>7.7894736842105265</c:v>
                </c:pt>
                <c:pt idx="7">
                  <c:v>7.7894736842105265</c:v>
                </c:pt>
                <c:pt idx="8">
                  <c:v>7.7894736842105265</c:v>
                </c:pt>
                <c:pt idx="9">
                  <c:v>7.7894736842105265</c:v>
                </c:pt>
                <c:pt idx="10">
                  <c:v>7.7894736842105265</c:v>
                </c:pt>
                <c:pt idx="11">
                  <c:v>7.7894736842105265</c:v>
                </c:pt>
                <c:pt idx="12">
                  <c:v>7.7894736842105265</c:v>
                </c:pt>
                <c:pt idx="13">
                  <c:v>7.7894736842105265</c:v>
                </c:pt>
                <c:pt idx="14">
                  <c:v>7.7894736842105265</c:v>
                </c:pt>
                <c:pt idx="15">
                  <c:v>7.7894736842105265</c:v>
                </c:pt>
                <c:pt idx="16">
                  <c:v>7.7894736842105265</c:v>
                </c:pt>
                <c:pt idx="17">
                  <c:v>7.7894736842105265</c:v>
                </c:pt>
                <c:pt idx="18">
                  <c:v>7.7894736842105265</c:v>
                </c:pt>
                <c:pt idx="19">
                  <c:v>7.7894736842105265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2C-4206-B92F-0FAC7A0AFDBA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Chart'!$H$58:$H$77</c:f>
              <c:numCache>
                <c:formatCode>0.00</c:formatCode>
                <c:ptCount val="20"/>
                <c:pt idx="0">
                  <c:v>25.448210526315791</c:v>
                </c:pt>
                <c:pt idx="1">
                  <c:v>25.448210526315791</c:v>
                </c:pt>
                <c:pt idx="2">
                  <c:v>25.448210526315791</c:v>
                </c:pt>
                <c:pt idx="3">
                  <c:v>25.448210526315791</c:v>
                </c:pt>
                <c:pt idx="4">
                  <c:v>25.448210526315791</c:v>
                </c:pt>
                <c:pt idx="5">
                  <c:v>25.448210526315791</c:v>
                </c:pt>
                <c:pt idx="6">
                  <c:v>25.448210526315791</c:v>
                </c:pt>
                <c:pt idx="7">
                  <c:v>25.448210526315791</c:v>
                </c:pt>
                <c:pt idx="8">
                  <c:v>25.448210526315791</c:v>
                </c:pt>
                <c:pt idx="9">
                  <c:v>25.448210526315791</c:v>
                </c:pt>
                <c:pt idx="10">
                  <c:v>25.448210526315791</c:v>
                </c:pt>
                <c:pt idx="11">
                  <c:v>25.448210526315791</c:v>
                </c:pt>
                <c:pt idx="12">
                  <c:v>25.448210526315791</c:v>
                </c:pt>
                <c:pt idx="13">
                  <c:v>25.448210526315791</c:v>
                </c:pt>
                <c:pt idx="14">
                  <c:v>25.448210526315791</c:v>
                </c:pt>
                <c:pt idx="15">
                  <c:v>25.448210526315791</c:v>
                </c:pt>
                <c:pt idx="16">
                  <c:v>25.448210526315791</c:v>
                </c:pt>
                <c:pt idx="17">
                  <c:v>25.448210526315791</c:v>
                </c:pt>
                <c:pt idx="18">
                  <c:v>25.448210526315791</c:v>
                </c:pt>
                <c:pt idx="19">
                  <c:v>25.448210526315791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2C-4206-B92F-0FAC7A0AFDBA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Chart'!$I$58:$I$77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2C-4206-B92F-0FAC7A0AF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3581680"/>
        <c:axId val="953580720"/>
      </c:lineChart>
      <c:catAx>
        <c:axId val="95358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580720"/>
        <c:crosses val="autoZero"/>
        <c:auto val="1"/>
        <c:lblAlgn val="ctr"/>
        <c:lblOffset val="100"/>
        <c:noMultiLvlLbl val="0"/>
      </c:catAx>
      <c:valAx>
        <c:axId val="95358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58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175260</xdr:colOff>
      <xdr:row>7</xdr:row>
      <xdr:rowOff>87630</xdr:rowOff>
    </xdr:from>
    <xdr:to>
      <xdr:col>16</xdr:col>
      <xdr:colOff>220980</xdr:colOff>
      <xdr:row>25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F2F61D-3C2C-4B0A-9138-F3686178B5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320040</xdr:colOff>
      <xdr:row>9</xdr:row>
      <xdr:rowOff>167640</xdr:rowOff>
    </xdr:from>
    <xdr:to>
      <xdr:col>15</xdr:col>
      <xdr:colOff>505097</xdr:colOff>
      <xdr:row>13</xdr:row>
      <xdr:rowOff>45720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BB5A1E6A-0262-4EC5-9998-C4D1E0B722A8}"/>
            </a:ext>
          </a:extLst>
        </xdr:cNvPr>
        <xdr:cNvSpPr/>
      </xdr:nvSpPr>
      <xdr:spPr>
        <a:xfrm>
          <a:off x="9288780" y="1813560"/>
          <a:ext cx="794657" cy="60960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526869</xdr:colOff>
      <xdr:row>11</xdr:row>
      <xdr:rowOff>84909</xdr:rowOff>
    </xdr:from>
    <xdr:to>
      <xdr:col>17</xdr:col>
      <xdr:colOff>494211</xdr:colOff>
      <xdr:row>12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3765E21-8979-4EBD-A57E-AFEA5DD02CD3}"/>
            </a:ext>
          </a:extLst>
        </xdr:cNvPr>
        <xdr:cNvCxnSpPr/>
      </xdr:nvCxnSpPr>
      <xdr:spPr>
        <a:xfrm>
          <a:off x="10105209" y="2096589"/>
          <a:ext cx="1186542" cy="17417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601806</xdr:colOff>
      <xdr:row>7</xdr:row>
      <xdr:rowOff>129887</xdr:rowOff>
    </xdr:from>
    <xdr:to>
      <xdr:col>19</xdr:col>
      <xdr:colOff>355023</xdr:colOff>
      <xdr:row>25</xdr:row>
      <xdr:rowOff>25977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CDF7F-C4A8-41CD-A236-B40F59E47B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4328</xdr:colOff>
      <xdr:row>29</xdr:row>
      <xdr:rowOff>103909</xdr:rowOff>
    </xdr:from>
    <xdr:to>
      <xdr:col>21</xdr:col>
      <xdr:colOff>566057</xdr:colOff>
      <xdr:row>45</xdr:row>
      <xdr:rowOff>32658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0559B6-7E02-4CF4-8FEF-7E7E8BF951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168852</xdr:colOff>
      <xdr:row>53</xdr:row>
      <xdr:rowOff>8659</xdr:rowOff>
    </xdr:from>
    <xdr:to>
      <xdr:col>21</xdr:col>
      <xdr:colOff>242454</xdr:colOff>
      <xdr:row>68</xdr:row>
      <xdr:rowOff>107372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DB3935-4E60-4785-93BB-EEEBE065F6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194830</xdr:colOff>
      <xdr:row>68</xdr:row>
      <xdr:rowOff>152399</xdr:rowOff>
    </xdr:from>
    <xdr:to>
      <xdr:col>21</xdr:col>
      <xdr:colOff>294409</xdr:colOff>
      <xdr:row>83</xdr:row>
      <xdr:rowOff>8660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26593E7-E10B-4512-80F9-3CE7B6DBF5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457200</xdr:colOff>
      <xdr:row>54</xdr:row>
      <xdr:rowOff>130628</xdr:rowOff>
    </xdr:from>
    <xdr:to>
      <xdr:col>21</xdr:col>
      <xdr:colOff>32657</xdr:colOff>
      <xdr:row>58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1492D828-CC94-474A-889A-9A4D601F99F1}"/>
            </a:ext>
          </a:extLst>
        </xdr:cNvPr>
        <xdr:cNvSpPr/>
      </xdr:nvSpPr>
      <xdr:spPr>
        <a:xfrm>
          <a:off x="12039600" y="9907088"/>
          <a:ext cx="792752" cy="589462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21</xdr:col>
      <xdr:colOff>54429</xdr:colOff>
      <xdr:row>56</xdr:row>
      <xdr:rowOff>43543</xdr:rowOff>
    </xdr:from>
    <xdr:to>
      <xdr:col>23</xdr:col>
      <xdr:colOff>21771</xdr:colOff>
      <xdr:row>57</xdr:row>
      <xdr:rowOff>32657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DC30B038-8634-483C-BAD8-3433AD83A2F0}"/>
            </a:ext>
          </a:extLst>
        </xdr:cNvPr>
        <xdr:cNvCxnSpPr/>
      </xdr:nvCxnSpPr>
      <xdr:spPr>
        <a:xfrm>
          <a:off x="12859839" y="10180048"/>
          <a:ext cx="1178922" cy="1662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522514</xdr:colOff>
      <xdr:row>70</xdr:row>
      <xdr:rowOff>32657</xdr:rowOff>
    </xdr:from>
    <xdr:to>
      <xdr:col>21</xdr:col>
      <xdr:colOff>97971</xdr:colOff>
      <xdr:row>73</xdr:row>
      <xdr:rowOff>87086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C840DC33-057B-4619-9FBF-2AC2C399B038}"/>
            </a:ext>
          </a:extLst>
        </xdr:cNvPr>
        <xdr:cNvSpPr/>
      </xdr:nvSpPr>
      <xdr:spPr>
        <a:xfrm>
          <a:off x="12103009" y="12699002"/>
          <a:ext cx="792752" cy="601164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21</xdr:col>
      <xdr:colOff>119743</xdr:colOff>
      <xdr:row>71</xdr:row>
      <xdr:rowOff>130629</xdr:rowOff>
    </xdr:from>
    <xdr:to>
      <xdr:col>22</xdr:col>
      <xdr:colOff>587829</xdr:colOff>
      <xdr:row>72</xdr:row>
      <xdr:rowOff>97972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2A57ED6D-938F-44CF-9B14-5F71E51D06A7}"/>
            </a:ext>
          </a:extLst>
        </xdr:cNvPr>
        <xdr:cNvCxnSpPr/>
      </xdr:nvCxnSpPr>
      <xdr:spPr>
        <a:xfrm>
          <a:off x="12923248" y="12983664"/>
          <a:ext cx="1079591" cy="14069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2%20Smart%20Manufacturing%20and%20Applied%20information%20science\2%20Semester\Advance%20Statistical%20Quality%20Control\Homework%20320_FaldioM_4B437107.xlsx" TargetMode="External"/><Relationship Id="rId1" Type="http://schemas.openxmlformats.org/officeDocument/2006/relationships/externalLinkPath" Target="Homework%20320_FaldioM_4B4371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R Chart"/>
      <sheetName val="CUSUM Chart"/>
      <sheetName val="Sheet3"/>
      <sheetName val="Sheet2"/>
      <sheetName val="Sheet1"/>
    </sheetNames>
    <sheetDataSet>
      <sheetData sheetId="0">
        <row r="2">
          <cell r="B2">
            <v>310</v>
          </cell>
          <cell r="D2">
            <v>300.5</v>
          </cell>
          <cell r="E2">
            <v>321.21668533034716</v>
          </cell>
          <cell r="F2">
            <v>279.78331466965284</v>
          </cell>
        </row>
        <row r="3">
          <cell r="B3">
            <v>288</v>
          </cell>
          <cell r="D3">
            <v>300.5</v>
          </cell>
          <cell r="E3">
            <v>321.21668533034716</v>
          </cell>
          <cell r="F3">
            <v>279.78331466965284</v>
          </cell>
        </row>
        <row r="4">
          <cell r="B4">
            <v>297</v>
          </cell>
          <cell r="D4">
            <v>300.5</v>
          </cell>
          <cell r="E4">
            <v>321.21668533034716</v>
          </cell>
          <cell r="F4">
            <v>279.78331466965284</v>
          </cell>
        </row>
        <row r="5">
          <cell r="B5">
            <v>298</v>
          </cell>
          <cell r="D5">
            <v>300.5</v>
          </cell>
          <cell r="E5">
            <v>321.21668533034716</v>
          </cell>
          <cell r="F5">
            <v>279.78331466965284</v>
          </cell>
        </row>
        <row r="6">
          <cell r="B6">
            <v>307</v>
          </cell>
          <cell r="D6">
            <v>300.5</v>
          </cell>
          <cell r="E6">
            <v>321.21668533034716</v>
          </cell>
          <cell r="F6">
            <v>279.78331466965284</v>
          </cell>
        </row>
        <row r="7">
          <cell r="B7">
            <v>303</v>
          </cell>
          <cell r="D7">
            <v>300.5</v>
          </cell>
          <cell r="E7">
            <v>321.21668533034716</v>
          </cell>
          <cell r="F7">
            <v>279.78331466965284</v>
          </cell>
        </row>
        <row r="8">
          <cell r="B8">
            <v>294</v>
          </cell>
          <cell r="D8">
            <v>300.5</v>
          </cell>
          <cell r="E8">
            <v>321.21668533034716</v>
          </cell>
          <cell r="F8">
            <v>279.78331466965284</v>
          </cell>
        </row>
        <row r="9">
          <cell r="B9">
            <v>297</v>
          </cell>
          <cell r="D9">
            <v>300.5</v>
          </cell>
          <cell r="E9">
            <v>321.21668533034716</v>
          </cell>
          <cell r="F9">
            <v>279.78331466965284</v>
          </cell>
        </row>
        <row r="10">
          <cell r="B10">
            <v>308</v>
          </cell>
          <cell r="D10">
            <v>300.5</v>
          </cell>
          <cell r="E10">
            <v>321.21668533034716</v>
          </cell>
          <cell r="F10">
            <v>279.78331466965284</v>
          </cell>
        </row>
        <row r="11">
          <cell r="B11">
            <v>306</v>
          </cell>
          <cell r="D11">
            <v>300.5</v>
          </cell>
          <cell r="E11">
            <v>321.21668533034716</v>
          </cell>
          <cell r="F11">
            <v>279.78331466965284</v>
          </cell>
        </row>
        <row r="12">
          <cell r="B12">
            <v>294</v>
          </cell>
          <cell r="D12">
            <v>300.5</v>
          </cell>
          <cell r="E12">
            <v>321.21668533034716</v>
          </cell>
          <cell r="F12">
            <v>279.78331466965284</v>
          </cell>
        </row>
        <row r="13">
          <cell r="B13">
            <v>299</v>
          </cell>
          <cell r="D13">
            <v>300.5</v>
          </cell>
          <cell r="E13">
            <v>321.21668533034716</v>
          </cell>
          <cell r="F13">
            <v>279.78331466965284</v>
          </cell>
        </row>
        <row r="14">
          <cell r="B14">
            <v>297</v>
          </cell>
          <cell r="D14">
            <v>300.5</v>
          </cell>
          <cell r="E14">
            <v>321.21668533034716</v>
          </cell>
          <cell r="F14">
            <v>279.78331466965284</v>
          </cell>
        </row>
        <row r="15">
          <cell r="B15">
            <v>299</v>
          </cell>
          <cell r="D15">
            <v>300.5</v>
          </cell>
          <cell r="E15">
            <v>321.21668533034716</v>
          </cell>
          <cell r="F15">
            <v>279.78331466965284</v>
          </cell>
        </row>
        <row r="16">
          <cell r="B16">
            <v>314</v>
          </cell>
          <cell r="D16">
            <v>300.5</v>
          </cell>
          <cell r="E16">
            <v>321.21668533034716</v>
          </cell>
          <cell r="F16">
            <v>279.78331466965284</v>
          </cell>
        </row>
        <row r="17">
          <cell r="B17">
            <v>295</v>
          </cell>
          <cell r="D17">
            <v>300.5</v>
          </cell>
          <cell r="E17">
            <v>321.21668533034716</v>
          </cell>
          <cell r="F17">
            <v>279.78331466965284</v>
          </cell>
        </row>
        <row r="18">
          <cell r="B18">
            <v>293</v>
          </cell>
          <cell r="D18">
            <v>300.5</v>
          </cell>
          <cell r="E18">
            <v>321.21668533034716</v>
          </cell>
          <cell r="F18">
            <v>279.78331466965284</v>
          </cell>
        </row>
        <row r="19">
          <cell r="B19">
            <v>306</v>
          </cell>
          <cell r="D19">
            <v>300.5</v>
          </cell>
          <cell r="E19">
            <v>321.21668533034716</v>
          </cell>
          <cell r="F19">
            <v>279.78331466965284</v>
          </cell>
        </row>
        <row r="20">
          <cell r="B20">
            <v>301</v>
          </cell>
          <cell r="D20">
            <v>300.5</v>
          </cell>
          <cell r="E20">
            <v>321.21668533034716</v>
          </cell>
          <cell r="F20">
            <v>279.78331466965284</v>
          </cell>
        </row>
        <row r="21">
          <cell r="B21">
            <v>304</v>
          </cell>
          <cell r="D21">
            <v>300.5</v>
          </cell>
          <cell r="E21">
            <v>321.21668533034716</v>
          </cell>
          <cell r="F21">
            <v>279.78331466965284</v>
          </cell>
        </row>
        <row r="30">
          <cell r="D30">
            <v>7.7894736842105265</v>
          </cell>
          <cell r="E30">
            <v>25.448210526315791</v>
          </cell>
          <cell r="F30">
            <v>0</v>
          </cell>
        </row>
        <row r="31">
          <cell r="C31">
            <v>22</v>
          </cell>
          <cell r="D31">
            <v>7.7894736842105265</v>
          </cell>
          <cell r="E31">
            <v>25.448210526315791</v>
          </cell>
          <cell r="F31">
            <v>0</v>
          </cell>
        </row>
        <row r="32">
          <cell r="C32">
            <v>9</v>
          </cell>
          <cell r="D32">
            <v>7.7894736842105265</v>
          </cell>
          <cell r="E32">
            <v>25.448210526315791</v>
          </cell>
          <cell r="F32">
            <v>0</v>
          </cell>
        </row>
        <row r="33">
          <cell r="C33">
            <v>1</v>
          </cell>
          <cell r="D33">
            <v>7.7894736842105265</v>
          </cell>
          <cell r="E33">
            <v>25.448210526315791</v>
          </cell>
          <cell r="F33">
            <v>0</v>
          </cell>
        </row>
        <row r="34">
          <cell r="C34">
            <v>9</v>
          </cell>
          <cell r="D34">
            <v>7.7894736842105265</v>
          </cell>
          <cell r="E34">
            <v>25.448210526315791</v>
          </cell>
          <cell r="F34">
            <v>0</v>
          </cell>
        </row>
        <row r="35">
          <cell r="C35">
            <v>4</v>
          </cell>
          <cell r="D35">
            <v>7.7894736842105265</v>
          </cell>
          <cell r="E35">
            <v>25.448210526315791</v>
          </cell>
          <cell r="F35">
            <v>0</v>
          </cell>
        </row>
        <row r="36">
          <cell r="C36">
            <v>9</v>
          </cell>
          <cell r="D36">
            <v>7.7894736842105265</v>
          </cell>
          <cell r="E36">
            <v>25.448210526315791</v>
          </cell>
          <cell r="F36">
            <v>0</v>
          </cell>
        </row>
        <row r="37">
          <cell r="C37">
            <v>3</v>
          </cell>
          <cell r="D37">
            <v>7.7894736842105265</v>
          </cell>
          <cell r="E37">
            <v>25.448210526315791</v>
          </cell>
          <cell r="F37">
            <v>0</v>
          </cell>
        </row>
        <row r="38">
          <cell r="C38">
            <v>11</v>
          </cell>
          <cell r="D38">
            <v>7.7894736842105265</v>
          </cell>
          <cell r="E38">
            <v>25.448210526315791</v>
          </cell>
          <cell r="F38">
            <v>0</v>
          </cell>
        </row>
        <row r="39">
          <cell r="C39">
            <v>2</v>
          </cell>
          <cell r="D39">
            <v>7.7894736842105265</v>
          </cell>
          <cell r="E39">
            <v>25.448210526315791</v>
          </cell>
          <cell r="F39">
            <v>0</v>
          </cell>
        </row>
        <row r="40">
          <cell r="C40">
            <v>12</v>
          </cell>
          <cell r="D40">
            <v>7.7894736842105265</v>
          </cell>
          <cell r="E40">
            <v>25.448210526315791</v>
          </cell>
          <cell r="F40">
            <v>0</v>
          </cell>
        </row>
        <row r="41">
          <cell r="C41">
            <v>5</v>
          </cell>
          <cell r="D41">
            <v>7.7894736842105265</v>
          </cell>
          <cell r="E41">
            <v>25.448210526315791</v>
          </cell>
          <cell r="F41">
            <v>0</v>
          </cell>
        </row>
        <row r="42">
          <cell r="C42">
            <v>2</v>
          </cell>
          <cell r="D42">
            <v>7.7894736842105265</v>
          </cell>
          <cell r="E42">
            <v>25.448210526315791</v>
          </cell>
          <cell r="F42">
            <v>0</v>
          </cell>
        </row>
        <row r="43">
          <cell r="C43">
            <v>2</v>
          </cell>
          <cell r="D43">
            <v>7.7894736842105265</v>
          </cell>
          <cell r="E43">
            <v>25.448210526315791</v>
          </cell>
          <cell r="F43">
            <v>0</v>
          </cell>
        </row>
        <row r="44">
          <cell r="C44">
            <v>15</v>
          </cell>
          <cell r="D44">
            <v>7.7894736842105265</v>
          </cell>
          <cell r="E44">
            <v>25.448210526315791</v>
          </cell>
          <cell r="F44">
            <v>0</v>
          </cell>
        </row>
        <row r="45">
          <cell r="C45">
            <v>19</v>
          </cell>
          <cell r="D45">
            <v>7.7894736842105265</v>
          </cell>
          <cell r="E45">
            <v>25.448210526315791</v>
          </cell>
          <cell r="F45">
            <v>0</v>
          </cell>
        </row>
        <row r="46">
          <cell r="C46">
            <v>2</v>
          </cell>
          <cell r="D46">
            <v>7.7894736842105265</v>
          </cell>
          <cell r="E46">
            <v>25.448210526315791</v>
          </cell>
          <cell r="F46">
            <v>0</v>
          </cell>
        </row>
        <row r="47">
          <cell r="C47">
            <v>13</v>
          </cell>
          <cell r="D47">
            <v>7.7894736842105265</v>
          </cell>
          <cell r="E47">
            <v>25.448210526315791</v>
          </cell>
          <cell r="F47">
            <v>0</v>
          </cell>
        </row>
        <row r="48">
          <cell r="C48">
            <v>5</v>
          </cell>
          <cell r="D48">
            <v>7.7894736842105265</v>
          </cell>
          <cell r="E48">
            <v>25.448210526315791</v>
          </cell>
          <cell r="F48">
            <v>0</v>
          </cell>
        </row>
        <row r="49">
          <cell r="C49">
            <v>3</v>
          </cell>
          <cell r="D49">
            <v>7.7894736842105265</v>
          </cell>
          <cell r="E49">
            <v>25.448210526315791</v>
          </cell>
          <cell r="F49">
            <v>0</v>
          </cell>
        </row>
        <row r="58">
          <cell r="A58">
            <v>21</v>
          </cell>
          <cell r="B58">
            <v>305</v>
          </cell>
          <cell r="D58">
            <v>300.5</v>
          </cell>
          <cell r="E58">
            <v>321.21668533034716</v>
          </cell>
          <cell r="F58">
            <v>279.78331466965284</v>
          </cell>
          <cell r="G58">
            <v>7.7894736842105265</v>
          </cell>
          <cell r="H58">
            <v>25.448210526315791</v>
          </cell>
          <cell r="I58">
            <v>0</v>
          </cell>
        </row>
        <row r="59">
          <cell r="A59">
            <v>22</v>
          </cell>
          <cell r="B59">
            <v>282</v>
          </cell>
          <cell r="C59">
            <v>23</v>
          </cell>
          <cell r="D59">
            <v>300.5</v>
          </cell>
          <cell r="E59">
            <v>321.21668533034716</v>
          </cell>
          <cell r="F59">
            <v>279.78331466965284</v>
          </cell>
          <cell r="G59">
            <v>7.7894736842105265</v>
          </cell>
          <cell r="H59">
            <v>25.448210526315791</v>
          </cell>
          <cell r="I59">
            <v>0</v>
          </cell>
        </row>
        <row r="60">
          <cell r="A60">
            <v>23</v>
          </cell>
          <cell r="B60">
            <v>305</v>
          </cell>
          <cell r="C60">
            <v>23</v>
          </cell>
          <cell r="D60">
            <v>300.5</v>
          </cell>
          <cell r="E60">
            <v>321.21668533034716</v>
          </cell>
          <cell r="F60">
            <v>279.78331466965284</v>
          </cell>
          <cell r="G60">
            <v>7.7894736842105265</v>
          </cell>
          <cell r="H60">
            <v>25.448210526315791</v>
          </cell>
          <cell r="I60">
            <v>0</v>
          </cell>
        </row>
        <row r="61">
          <cell r="A61">
            <v>24</v>
          </cell>
          <cell r="B61">
            <v>296</v>
          </cell>
          <cell r="C61">
            <v>9</v>
          </cell>
          <cell r="D61">
            <v>300.5</v>
          </cell>
          <cell r="E61">
            <v>321.21668533034716</v>
          </cell>
          <cell r="F61">
            <v>279.78331466965284</v>
          </cell>
          <cell r="G61">
            <v>7.7894736842105265</v>
          </cell>
          <cell r="H61">
            <v>25.448210526315791</v>
          </cell>
          <cell r="I61">
            <v>0</v>
          </cell>
        </row>
        <row r="62">
          <cell r="A62">
            <v>25</v>
          </cell>
          <cell r="B62">
            <v>314</v>
          </cell>
          <cell r="C62">
            <v>18</v>
          </cell>
          <cell r="D62">
            <v>300.5</v>
          </cell>
          <cell r="E62">
            <v>321.21668533034716</v>
          </cell>
          <cell r="F62">
            <v>279.78331466965284</v>
          </cell>
          <cell r="G62">
            <v>7.7894736842105265</v>
          </cell>
          <cell r="H62">
            <v>25.448210526315791</v>
          </cell>
          <cell r="I62">
            <v>0</v>
          </cell>
        </row>
        <row r="63">
          <cell r="A63">
            <v>26</v>
          </cell>
          <cell r="B63">
            <v>295</v>
          </cell>
          <cell r="C63">
            <v>19</v>
          </cell>
          <cell r="D63">
            <v>300.5</v>
          </cell>
          <cell r="E63">
            <v>321.21668533034716</v>
          </cell>
          <cell r="F63">
            <v>279.78331466965284</v>
          </cell>
          <cell r="G63">
            <v>7.7894736842105265</v>
          </cell>
          <cell r="H63">
            <v>25.448210526315791</v>
          </cell>
          <cell r="I63">
            <v>0</v>
          </cell>
        </row>
        <row r="64">
          <cell r="A64">
            <v>27</v>
          </cell>
          <cell r="B64">
            <v>287</v>
          </cell>
          <cell r="C64">
            <v>8</v>
          </cell>
          <cell r="D64">
            <v>300.5</v>
          </cell>
          <cell r="E64">
            <v>321.21668533034716</v>
          </cell>
          <cell r="F64">
            <v>279.78331466965284</v>
          </cell>
          <cell r="G64">
            <v>7.7894736842105265</v>
          </cell>
          <cell r="H64">
            <v>25.448210526315791</v>
          </cell>
          <cell r="I64">
            <v>0</v>
          </cell>
        </row>
        <row r="65">
          <cell r="A65">
            <v>28</v>
          </cell>
          <cell r="B65">
            <v>301</v>
          </cell>
          <cell r="C65">
            <v>14</v>
          </cell>
          <cell r="D65">
            <v>300.5</v>
          </cell>
          <cell r="E65">
            <v>321.21668533034716</v>
          </cell>
          <cell r="F65">
            <v>279.78331466965284</v>
          </cell>
          <cell r="G65">
            <v>7.7894736842105265</v>
          </cell>
          <cell r="H65">
            <v>25.448210526315791</v>
          </cell>
          <cell r="I65">
            <v>0</v>
          </cell>
        </row>
        <row r="66">
          <cell r="A66">
            <v>29</v>
          </cell>
          <cell r="B66">
            <v>298</v>
          </cell>
          <cell r="C66">
            <v>3</v>
          </cell>
          <cell r="D66">
            <v>300.5</v>
          </cell>
          <cell r="E66">
            <v>321.21668533034716</v>
          </cell>
          <cell r="F66">
            <v>279.78331466965284</v>
          </cell>
          <cell r="G66">
            <v>7.7894736842105265</v>
          </cell>
          <cell r="H66">
            <v>25.448210526315791</v>
          </cell>
          <cell r="I66">
            <v>0</v>
          </cell>
        </row>
        <row r="67">
          <cell r="A67">
            <v>30</v>
          </cell>
          <cell r="B67">
            <v>311</v>
          </cell>
          <cell r="C67">
            <v>13</v>
          </cell>
          <cell r="D67">
            <v>300.5</v>
          </cell>
          <cell r="E67">
            <v>321.21668533034716</v>
          </cell>
          <cell r="F67">
            <v>279.78331466965284</v>
          </cell>
          <cell r="G67">
            <v>7.7894736842105265</v>
          </cell>
          <cell r="H67">
            <v>25.448210526315791</v>
          </cell>
          <cell r="I67">
            <v>0</v>
          </cell>
        </row>
        <row r="68">
          <cell r="A68">
            <v>31</v>
          </cell>
          <cell r="B68">
            <v>310</v>
          </cell>
          <cell r="C68">
            <v>1</v>
          </cell>
          <cell r="D68">
            <v>300.5</v>
          </cell>
          <cell r="E68">
            <v>321.21668533034716</v>
          </cell>
          <cell r="F68">
            <v>279.78331466965284</v>
          </cell>
          <cell r="G68">
            <v>7.7894736842105265</v>
          </cell>
          <cell r="H68">
            <v>25.448210526315791</v>
          </cell>
          <cell r="I68">
            <v>0</v>
          </cell>
        </row>
        <row r="69">
          <cell r="A69">
            <v>32</v>
          </cell>
          <cell r="B69">
            <v>292</v>
          </cell>
          <cell r="C69">
            <v>18</v>
          </cell>
          <cell r="D69">
            <v>300.5</v>
          </cell>
          <cell r="E69">
            <v>321.21668533034716</v>
          </cell>
          <cell r="F69">
            <v>279.78331466965284</v>
          </cell>
          <cell r="G69">
            <v>7.7894736842105265</v>
          </cell>
          <cell r="H69">
            <v>25.448210526315791</v>
          </cell>
          <cell r="I69">
            <v>0</v>
          </cell>
        </row>
        <row r="70">
          <cell r="A70">
            <v>33</v>
          </cell>
          <cell r="B70">
            <v>305</v>
          </cell>
          <cell r="C70">
            <v>13</v>
          </cell>
          <cell r="D70">
            <v>300.5</v>
          </cell>
          <cell r="E70">
            <v>321.21668533034716</v>
          </cell>
          <cell r="F70">
            <v>279.78331466965284</v>
          </cell>
          <cell r="G70">
            <v>7.7894736842105265</v>
          </cell>
          <cell r="H70">
            <v>25.448210526315791</v>
          </cell>
          <cell r="I70">
            <v>0</v>
          </cell>
        </row>
        <row r="71">
          <cell r="A71">
            <v>34</v>
          </cell>
          <cell r="B71">
            <v>299</v>
          </cell>
          <cell r="C71">
            <v>6</v>
          </cell>
          <cell r="D71">
            <v>300.5</v>
          </cell>
          <cell r="E71">
            <v>321.21668533034716</v>
          </cell>
          <cell r="F71">
            <v>279.78331466965284</v>
          </cell>
          <cell r="G71">
            <v>7.7894736842105265</v>
          </cell>
          <cell r="H71">
            <v>25.448210526315791</v>
          </cell>
          <cell r="I71">
            <v>0</v>
          </cell>
        </row>
        <row r="72">
          <cell r="A72">
            <v>35</v>
          </cell>
          <cell r="B72">
            <v>304</v>
          </cell>
          <cell r="C72">
            <v>5</v>
          </cell>
          <cell r="D72">
            <v>300.5</v>
          </cell>
          <cell r="E72">
            <v>321.21668533034716</v>
          </cell>
          <cell r="F72">
            <v>279.78331466965284</v>
          </cell>
          <cell r="G72">
            <v>7.7894736842105265</v>
          </cell>
          <cell r="H72">
            <v>25.448210526315791</v>
          </cell>
          <cell r="I72">
            <v>0</v>
          </cell>
        </row>
        <row r="73">
          <cell r="A73">
            <v>36</v>
          </cell>
          <cell r="B73">
            <v>310</v>
          </cell>
          <cell r="C73">
            <v>6</v>
          </cell>
          <cell r="D73">
            <v>300.5</v>
          </cell>
          <cell r="E73">
            <v>321.21668533034716</v>
          </cell>
          <cell r="F73">
            <v>279.78331466965284</v>
          </cell>
          <cell r="G73">
            <v>7.7894736842105265</v>
          </cell>
          <cell r="H73">
            <v>25.448210526315791</v>
          </cell>
          <cell r="I73">
            <v>0</v>
          </cell>
        </row>
        <row r="74">
          <cell r="A74">
            <v>37</v>
          </cell>
          <cell r="B74">
            <v>304</v>
          </cell>
          <cell r="C74">
            <v>6</v>
          </cell>
          <cell r="D74">
            <v>300.5</v>
          </cell>
          <cell r="E74">
            <v>321.21668533034716</v>
          </cell>
          <cell r="F74">
            <v>279.78331466965284</v>
          </cell>
          <cell r="G74">
            <v>7.7894736842105265</v>
          </cell>
          <cell r="H74">
            <v>25.448210526315791</v>
          </cell>
          <cell r="I74">
            <v>0</v>
          </cell>
        </row>
        <row r="75">
          <cell r="A75">
            <v>38</v>
          </cell>
          <cell r="B75">
            <v>305</v>
          </cell>
          <cell r="C75">
            <v>1</v>
          </cell>
          <cell r="D75">
            <v>300.5</v>
          </cell>
          <cell r="E75">
            <v>321.21668533034716</v>
          </cell>
          <cell r="F75">
            <v>279.78331466965284</v>
          </cell>
          <cell r="G75">
            <v>7.7894736842105265</v>
          </cell>
          <cell r="H75">
            <v>25.448210526315791</v>
          </cell>
          <cell r="I75">
            <v>0</v>
          </cell>
        </row>
        <row r="76">
          <cell r="A76">
            <v>39</v>
          </cell>
          <cell r="B76">
            <v>333</v>
          </cell>
          <cell r="C76">
            <v>28</v>
          </cell>
          <cell r="D76">
            <v>300.5</v>
          </cell>
          <cell r="E76">
            <v>321.21668533034716</v>
          </cell>
          <cell r="F76">
            <v>279.78331466965284</v>
          </cell>
          <cell r="G76">
            <v>7.7894736842105265</v>
          </cell>
          <cell r="H76">
            <v>25.448210526315791</v>
          </cell>
          <cell r="I76">
            <v>0</v>
          </cell>
        </row>
        <row r="77">
          <cell r="A77">
            <v>40</v>
          </cell>
          <cell r="B77">
            <v>328</v>
          </cell>
          <cell r="C77">
            <v>5</v>
          </cell>
          <cell r="D77">
            <v>300.5</v>
          </cell>
          <cell r="E77">
            <v>321.21668533034716</v>
          </cell>
          <cell r="F77">
            <v>279.78331466965284</v>
          </cell>
          <cell r="G77">
            <v>7.7894736842105265</v>
          </cell>
          <cell r="H77">
            <v>25.448210526315791</v>
          </cell>
          <cell r="I77">
            <v>0</v>
          </cell>
        </row>
      </sheetData>
      <sheetData sheetId="1">
        <row r="2">
          <cell r="C2">
            <v>0</v>
          </cell>
          <cell r="D2">
            <v>0</v>
          </cell>
          <cell r="E2">
            <v>-5</v>
          </cell>
          <cell r="F2">
            <v>5</v>
          </cell>
        </row>
        <row r="3">
          <cell r="C3">
            <v>0</v>
          </cell>
          <cell r="D3">
            <v>0</v>
          </cell>
          <cell r="E3">
            <v>-5</v>
          </cell>
          <cell r="F3">
            <v>5</v>
          </cell>
        </row>
        <row r="4">
          <cell r="C4">
            <v>0.10000000000000142</v>
          </cell>
          <cell r="D4">
            <v>0</v>
          </cell>
          <cell r="E4">
            <v>-5</v>
          </cell>
          <cell r="F4">
            <v>5</v>
          </cell>
        </row>
        <row r="5">
          <cell r="C5">
            <v>0.60000000000000142</v>
          </cell>
          <cell r="D5">
            <v>0</v>
          </cell>
          <cell r="E5">
            <v>-5</v>
          </cell>
          <cell r="F5">
            <v>5</v>
          </cell>
        </row>
        <row r="6">
          <cell r="C6">
            <v>1.3000000000000043</v>
          </cell>
          <cell r="D6">
            <v>0</v>
          </cell>
          <cell r="E6">
            <v>-5</v>
          </cell>
          <cell r="F6">
            <v>5</v>
          </cell>
        </row>
        <row r="7">
          <cell r="C7">
            <v>2.3000000000000043</v>
          </cell>
          <cell r="D7">
            <v>0</v>
          </cell>
          <cell r="E7">
            <v>-5</v>
          </cell>
          <cell r="F7">
            <v>5</v>
          </cell>
        </row>
        <row r="8">
          <cell r="C8">
            <v>3.2000000000000028</v>
          </cell>
          <cell r="D8">
            <v>0</v>
          </cell>
          <cell r="E8">
            <v>-5</v>
          </cell>
          <cell r="F8">
            <v>5</v>
          </cell>
        </row>
        <row r="9">
          <cell r="C9">
            <v>4</v>
          </cell>
          <cell r="D9">
            <v>0</v>
          </cell>
          <cell r="E9">
            <v>-5</v>
          </cell>
          <cell r="F9">
            <v>5</v>
          </cell>
        </row>
        <row r="10">
          <cell r="C10">
            <v>5.1000000000000014</v>
          </cell>
          <cell r="D10">
            <v>0</v>
          </cell>
          <cell r="E10">
            <v>-5</v>
          </cell>
          <cell r="F10">
            <v>5</v>
          </cell>
        </row>
        <row r="11">
          <cell r="C11">
            <v>6.3999999999999986</v>
          </cell>
          <cell r="D11">
            <v>0</v>
          </cell>
          <cell r="E11">
            <v>-5</v>
          </cell>
          <cell r="F11">
            <v>5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8FCE-FFA3-460C-84DA-62BED41F8CA1}">
  <dimension ref="A1:S13"/>
  <sheetViews>
    <sheetView workbookViewId="0">
      <selection activeCell="B2" sqref="B2:B11"/>
    </sheetView>
  </sheetViews>
  <sheetFormatPr defaultRowHeight="14.4"/>
  <cols>
    <col min="9" max="9" width="15.77734375" bestFit="1" customWidth="1"/>
    <col min="10" max="10" width="8.33203125" customWidth="1"/>
  </cols>
  <sheetData>
    <row r="1" spans="1:19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I1" s="9" t="s">
        <v>26</v>
      </c>
      <c r="J1" s="9">
        <v>50</v>
      </c>
    </row>
    <row r="2" spans="1:19">
      <c r="A2" s="5">
        <v>1</v>
      </c>
      <c r="B2" s="6">
        <v>49.7</v>
      </c>
      <c r="C2" s="6">
        <f>MAX(0, 0+(B2-$J$1-$J$4))</f>
        <v>0</v>
      </c>
      <c r="D2" s="7">
        <f>MAX(0, 0+($J$1-B2-$J$4))</f>
        <v>0</v>
      </c>
      <c r="E2" s="8">
        <v>-5</v>
      </c>
      <c r="F2" s="8">
        <v>5</v>
      </c>
      <c r="I2" s="9" t="s">
        <v>27</v>
      </c>
      <c r="J2" s="9">
        <v>1</v>
      </c>
    </row>
    <row r="3" spans="1:19">
      <c r="A3" s="5">
        <v>2</v>
      </c>
      <c r="B3" s="6">
        <v>50.3</v>
      </c>
      <c r="C3" s="6">
        <f>MAX(0, C2+(B3-$J$1-$J$4))</f>
        <v>0</v>
      </c>
      <c r="D3" s="7">
        <f>MAX(0, D2+($J$1-B2-$J$4))</f>
        <v>0</v>
      </c>
      <c r="E3" s="8">
        <v>-5</v>
      </c>
      <c r="F3" s="8">
        <v>5</v>
      </c>
      <c r="I3" s="9" t="s">
        <v>28</v>
      </c>
      <c r="J3" s="9">
        <v>1</v>
      </c>
    </row>
    <row r="4" spans="1:19">
      <c r="A4" s="5">
        <v>3</v>
      </c>
      <c r="B4" s="6">
        <v>50.6</v>
      </c>
      <c r="C4" s="6">
        <f t="shared" ref="C4:C11" si="0">MAX(0, C3+(B4-$J$1-$J$4))</f>
        <v>0.10000000000000142</v>
      </c>
      <c r="D4" s="7">
        <f t="shared" ref="D4:D11" si="1">MAX(0, D3+($J$1-B3-$J$4))</f>
        <v>0</v>
      </c>
      <c r="E4" s="8">
        <v>-5</v>
      </c>
      <c r="F4" s="8">
        <v>5</v>
      </c>
      <c r="I4" s="9" t="s">
        <v>29</v>
      </c>
      <c r="J4" s="9">
        <v>0.5</v>
      </c>
    </row>
    <row r="5" spans="1:19">
      <c r="A5" s="5">
        <v>4</v>
      </c>
      <c r="B5" s="6">
        <v>51</v>
      </c>
      <c r="C5" s="6">
        <f t="shared" si="0"/>
        <v>0.60000000000000142</v>
      </c>
      <c r="D5" s="7">
        <f t="shared" si="1"/>
        <v>0</v>
      </c>
      <c r="E5" s="8">
        <v>-5</v>
      </c>
      <c r="F5" s="8">
        <v>5</v>
      </c>
      <c r="I5" s="9" t="s">
        <v>30</v>
      </c>
      <c r="J5" s="9">
        <v>5</v>
      </c>
    </row>
    <row r="6" spans="1:19">
      <c r="A6" s="5">
        <v>5</v>
      </c>
      <c r="B6" s="6">
        <v>51.2</v>
      </c>
      <c r="C6" s="6">
        <f t="shared" si="0"/>
        <v>1.3000000000000043</v>
      </c>
      <c r="D6" s="7">
        <f t="shared" si="1"/>
        <v>0</v>
      </c>
      <c r="E6" s="8">
        <v>-5</v>
      </c>
      <c r="F6" s="8">
        <v>5</v>
      </c>
    </row>
    <row r="7" spans="1:19">
      <c r="A7" s="5">
        <v>6</v>
      </c>
      <c r="B7" s="6">
        <v>51.5</v>
      </c>
      <c r="C7" s="6">
        <f t="shared" si="0"/>
        <v>2.3000000000000043</v>
      </c>
      <c r="D7" s="7">
        <f t="shared" si="1"/>
        <v>0</v>
      </c>
      <c r="E7" s="8">
        <v>-5</v>
      </c>
      <c r="F7" s="8">
        <v>5</v>
      </c>
    </row>
    <row r="8" spans="1:19">
      <c r="A8" s="5">
        <v>7</v>
      </c>
      <c r="B8" s="6">
        <v>51.4</v>
      </c>
      <c r="C8" s="6">
        <f t="shared" si="0"/>
        <v>3.2000000000000028</v>
      </c>
      <c r="D8" s="7">
        <f t="shared" si="1"/>
        <v>0</v>
      </c>
      <c r="E8" s="8">
        <v>-5</v>
      </c>
      <c r="F8" s="8">
        <v>5</v>
      </c>
    </row>
    <row r="9" spans="1:19">
      <c r="A9" s="5">
        <v>8</v>
      </c>
      <c r="B9" s="6">
        <v>51.3</v>
      </c>
      <c r="C9" s="6">
        <f t="shared" si="0"/>
        <v>4</v>
      </c>
      <c r="D9" s="7">
        <f t="shared" si="1"/>
        <v>0</v>
      </c>
      <c r="E9" s="8">
        <v>-5</v>
      </c>
      <c r="F9" s="8">
        <v>5</v>
      </c>
    </row>
    <row r="10" spans="1:19">
      <c r="A10" s="5">
        <v>9</v>
      </c>
      <c r="B10" s="6">
        <v>51.6</v>
      </c>
      <c r="C10" s="6">
        <f t="shared" si="0"/>
        <v>5.1000000000000014</v>
      </c>
      <c r="D10" s="7">
        <f t="shared" si="1"/>
        <v>0</v>
      </c>
      <c r="E10" s="8">
        <v>-5</v>
      </c>
      <c r="F10" s="8">
        <v>5</v>
      </c>
    </row>
    <row r="11" spans="1:19">
      <c r="A11" s="5">
        <v>10</v>
      </c>
      <c r="B11" s="6">
        <v>51.8</v>
      </c>
      <c r="C11" s="6">
        <f t="shared" si="0"/>
        <v>6.3999999999999986</v>
      </c>
      <c r="D11" s="7">
        <f t="shared" si="1"/>
        <v>0</v>
      </c>
      <c r="E11" s="8">
        <v>-5</v>
      </c>
      <c r="F11" s="8">
        <v>5</v>
      </c>
    </row>
    <row r="13" spans="1:19">
      <c r="S13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6EA6D-9614-4348-98EA-ED615F0B8A5E}">
  <dimension ref="A1:U21"/>
  <sheetViews>
    <sheetView tabSelected="1" topLeftCell="K1" workbookViewId="0">
      <selection activeCell="L30" sqref="L30"/>
    </sheetView>
  </sheetViews>
  <sheetFormatPr defaultRowHeight="14.4"/>
  <sheetData>
    <row r="1" spans="1:2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6">
      <c r="A2">
        <v>1</v>
      </c>
      <c r="B2" s="1">
        <v>11.7270020076823</v>
      </c>
      <c r="C2" s="1">
        <v>10.6595763822823</v>
      </c>
      <c r="D2" s="1">
        <v>10.866997155797799</v>
      </c>
      <c r="E2" s="1">
        <v>10.733324650253801</v>
      </c>
      <c r="F2" s="1">
        <v>11.0817649917943</v>
      </c>
      <c r="G2" s="1">
        <v>10.836299896141901</v>
      </c>
      <c r="H2" s="1">
        <v>10.600761599365599</v>
      </c>
      <c r="I2" s="1">
        <v>11.708516409840399</v>
      </c>
      <c r="J2" s="1">
        <v>11.5110046147999</v>
      </c>
      <c r="K2" s="1">
        <v>11.3686566027023</v>
      </c>
      <c r="L2" s="1">
        <v>11.213385208516099</v>
      </c>
      <c r="M2" s="1">
        <v>11.3461246278386</v>
      </c>
      <c r="N2" s="1">
        <v>10.897553696315001</v>
      </c>
      <c r="O2" s="1">
        <v>11.109093847890501</v>
      </c>
      <c r="P2" s="1">
        <v>10.657886430368601</v>
      </c>
      <c r="Q2" s="1">
        <v>10.8519781624356</v>
      </c>
      <c r="R2" s="1">
        <v>11.033737509588899</v>
      </c>
      <c r="S2" s="1">
        <v>11.408266251580599</v>
      </c>
      <c r="T2" s="1">
        <v>11.1846145878997</v>
      </c>
      <c r="U2" s="1">
        <v>10.427243662611099</v>
      </c>
    </row>
    <row r="3" spans="1:21" ht="15.6">
      <c r="A3">
        <v>2</v>
      </c>
      <c r="B3" s="1">
        <v>11.2063047235571</v>
      </c>
      <c r="C3" s="1">
        <v>11.1137573891111</v>
      </c>
      <c r="D3" s="1">
        <v>11.420525898665799</v>
      </c>
      <c r="E3" s="1">
        <v>11.2334320406678</v>
      </c>
      <c r="F3" s="1">
        <v>11.270658376059201</v>
      </c>
      <c r="G3" s="1">
        <v>10.956288518471901</v>
      </c>
      <c r="H3" s="1">
        <v>10.6173297903161</v>
      </c>
      <c r="I3" s="1">
        <v>10.174166771164501</v>
      </c>
      <c r="J3" s="1">
        <v>11.7175149565283</v>
      </c>
      <c r="K3" s="1">
        <v>10.7378931366099</v>
      </c>
      <c r="L3" s="1">
        <v>10.5367479821451</v>
      </c>
      <c r="M3" s="1">
        <v>10.984318301489701</v>
      </c>
      <c r="N3" s="1">
        <v>10.874115253967</v>
      </c>
      <c r="O3" s="1">
        <v>10.8739093798685</v>
      </c>
      <c r="P3" s="1">
        <v>10.687882050585401</v>
      </c>
      <c r="Q3" s="1">
        <v>10.631414149783399</v>
      </c>
      <c r="R3" s="1">
        <v>10.7093360258333</v>
      </c>
      <c r="S3" s="1">
        <v>11.424487496567499</v>
      </c>
      <c r="T3" s="1">
        <v>11.2989708054031</v>
      </c>
      <c r="U3" s="1">
        <v>11.0060705211153</v>
      </c>
    </row>
    <row r="4" spans="1:21" ht="15.6">
      <c r="A4">
        <v>3</v>
      </c>
      <c r="B4" s="1">
        <v>11.3447429944792</v>
      </c>
      <c r="C4" s="1">
        <v>10.787822655016599</v>
      </c>
      <c r="D4" s="1">
        <v>10.78106766346</v>
      </c>
      <c r="E4" s="1">
        <v>11.087580250339</v>
      </c>
      <c r="F4" s="1">
        <v>11.2515192777048</v>
      </c>
      <c r="G4" s="1">
        <v>11.5176354720264</v>
      </c>
      <c r="H4" s="1">
        <v>10.8482367462338</v>
      </c>
      <c r="I4" s="1">
        <v>10.821509783970001</v>
      </c>
      <c r="J4" s="1">
        <v>11.042175209894801</v>
      </c>
      <c r="K4" s="1">
        <v>10.672285726009401</v>
      </c>
      <c r="L4" s="1">
        <v>10.9481742100881</v>
      </c>
      <c r="M4" s="1">
        <v>11.1122302800048</v>
      </c>
      <c r="N4" s="1">
        <v>11.308324278161001</v>
      </c>
      <c r="O4" s="1">
        <v>11.025526928325901</v>
      </c>
      <c r="P4" s="1">
        <v>11.5766559886985</v>
      </c>
      <c r="Q4" s="1">
        <v>11.2267143357401</v>
      </c>
      <c r="R4" s="1">
        <v>10.876711735018199</v>
      </c>
      <c r="S4" s="1">
        <v>11.169939345470301</v>
      </c>
      <c r="T4" s="1">
        <v>11.4696462827161</v>
      </c>
      <c r="U4" s="1">
        <v>11.289935543096901</v>
      </c>
    </row>
    <row r="5" spans="1:21" ht="15.6">
      <c r="A5">
        <v>4</v>
      </c>
      <c r="B5" s="1">
        <v>10.735454935503199</v>
      </c>
      <c r="C5" s="1">
        <v>10.916278265259001</v>
      </c>
      <c r="D5" s="1">
        <v>10.879046237472499</v>
      </c>
      <c r="E5" s="1">
        <v>10.992748559072799</v>
      </c>
      <c r="F5" s="1">
        <v>10.837273065850599</v>
      </c>
      <c r="G5" s="1">
        <v>10.6987145084976</v>
      </c>
      <c r="H5" s="1">
        <v>10.941035542603601</v>
      </c>
      <c r="I5" s="1">
        <v>10.5374310432165</v>
      </c>
      <c r="J5" s="1">
        <v>10.6535344385226</v>
      </c>
      <c r="K5" s="1">
        <v>10.555819629496</v>
      </c>
      <c r="L5" s="1">
        <v>11.067594550672499</v>
      </c>
      <c r="M5" s="1">
        <v>10.9091853818831</v>
      </c>
      <c r="N5" s="1">
        <v>11.1525763043935</v>
      </c>
      <c r="O5" s="1">
        <v>11.299062635205599</v>
      </c>
      <c r="P5" s="1">
        <v>10.635618075155399</v>
      </c>
      <c r="Q5" s="1">
        <v>10.888830134020299</v>
      </c>
      <c r="R5" s="1">
        <v>10.9388287361596</v>
      </c>
      <c r="S5" s="1">
        <v>11.3591057701686</v>
      </c>
      <c r="T5" s="1">
        <v>10.125163295324599</v>
      </c>
      <c r="U5" s="1">
        <v>11.076208421933501</v>
      </c>
    </row>
    <row r="6" spans="1:21" ht="15.6">
      <c r="A6">
        <v>5</v>
      </c>
      <c r="B6" s="1">
        <v>10.8828461047248</v>
      </c>
      <c r="C6" s="1">
        <v>11.1381958364861</v>
      </c>
      <c r="D6" s="1">
        <v>10.821998862743101</v>
      </c>
      <c r="E6" s="1">
        <v>11.0456130418765</v>
      </c>
      <c r="F6" s="1">
        <v>11.0642640393585</v>
      </c>
      <c r="G6" s="1">
        <v>11.2746339635507</v>
      </c>
      <c r="H6" s="1">
        <v>10.9235132539907</v>
      </c>
      <c r="I6" s="1">
        <v>10.777355112619</v>
      </c>
      <c r="J6" s="1">
        <v>11.4192200160102</v>
      </c>
      <c r="K6" s="1">
        <v>11.174293218066399</v>
      </c>
      <c r="L6" s="1">
        <v>10.8368072469853</v>
      </c>
      <c r="M6" s="1">
        <v>10.744854151717201</v>
      </c>
      <c r="N6" s="1">
        <v>11.014768038763201</v>
      </c>
      <c r="O6" s="1">
        <v>11.0300707040904</v>
      </c>
      <c r="P6" s="1">
        <v>10.4434317412297</v>
      </c>
      <c r="Q6" s="1">
        <v>11.6191470492153</v>
      </c>
      <c r="R6" s="1">
        <v>10.831771303181601</v>
      </c>
      <c r="S6" s="1">
        <v>11.304754107379299</v>
      </c>
      <c r="T6" s="1">
        <v>10.941354237240599</v>
      </c>
      <c r="U6" s="1">
        <v>10.331764284558</v>
      </c>
    </row>
    <row r="7" spans="1:21" ht="15.6">
      <c r="A7">
        <v>6</v>
      </c>
      <c r="B7" s="1">
        <v>10.9318826476875</v>
      </c>
      <c r="C7" s="1">
        <v>11.2597726633762</v>
      </c>
      <c r="D7" s="1">
        <v>10.7064469171358</v>
      </c>
      <c r="E7" s="1">
        <v>10.6087359964623</v>
      </c>
      <c r="F7" s="1">
        <v>10.763905548398901</v>
      </c>
      <c r="G7" s="1">
        <v>11.108018098982001</v>
      </c>
      <c r="H7" s="1">
        <v>11.189467052501801</v>
      </c>
      <c r="I7" s="1">
        <v>11.111247996670899</v>
      </c>
      <c r="J7" s="1">
        <v>10.792570323640801</v>
      </c>
      <c r="K7" s="1">
        <v>11.976178394675401</v>
      </c>
      <c r="L7" s="1">
        <v>11.1193068212519</v>
      </c>
      <c r="M7" s="1">
        <v>10.231752865178199</v>
      </c>
      <c r="N7" s="1">
        <v>10.633263317392901</v>
      </c>
      <c r="O7" s="1">
        <v>10.7407891507308</v>
      </c>
      <c r="P7" s="1">
        <v>11.0966089016593</v>
      </c>
      <c r="Q7" s="1">
        <v>11.528703838317499</v>
      </c>
      <c r="R7" s="1">
        <v>11.2928928489962</v>
      </c>
      <c r="S7" s="1">
        <v>10.8663847425219</v>
      </c>
      <c r="T7" s="1">
        <v>11.123555360084501</v>
      </c>
      <c r="U7" s="1">
        <v>10.812112362549399</v>
      </c>
    </row>
    <row r="8" spans="1:21" ht="15.6">
      <c r="A8">
        <v>7</v>
      </c>
      <c r="B8" s="1">
        <v>11.274606154472201</v>
      </c>
      <c r="C8" s="1">
        <v>10.7205903291837</v>
      </c>
      <c r="D8" s="1">
        <v>10.9519401206152</v>
      </c>
      <c r="E8" s="1">
        <v>10.9788651300456</v>
      </c>
      <c r="F8" s="1">
        <v>10.6695528696519</v>
      </c>
      <c r="G8" s="1">
        <v>10.918148985254801</v>
      </c>
      <c r="H8" s="1">
        <v>11.1362431713451</v>
      </c>
      <c r="I8" s="1">
        <v>11.048316791057299</v>
      </c>
      <c r="J8" s="1">
        <v>10.8355667228714</v>
      </c>
      <c r="K8" s="1">
        <v>11.254650212920501</v>
      </c>
      <c r="L8" s="1">
        <v>10.982170087493101</v>
      </c>
      <c r="M8" s="1">
        <v>11.156569749424801</v>
      </c>
      <c r="N8" s="1">
        <v>10.593549183400899</v>
      </c>
      <c r="O8" s="1">
        <v>10.785724190278099</v>
      </c>
      <c r="P8" s="1">
        <v>11.9048472953901</v>
      </c>
      <c r="Q8" s="1">
        <v>11.0574036109176</v>
      </c>
      <c r="R8" s="1">
        <v>11.888422269486201</v>
      </c>
      <c r="S8" s="1">
        <v>11.150112559486001</v>
      </c>
      <c r="T8" s="1">
        <v>11.251038803921601</v>
      </c>
      <c r="U8" s="1">
        <v>10.8942886955438</v>
      </c>
    </row>
    <row r="9" spans="1:21" ht="15.6">
      <c r="A9">
        <v>8</v>
      </c>
      <c r="B9" s="1">
        <v>10.930532016803101</v>
      </c>
      <c r="C9" s="1">
        <v>11.315164677280199</v>
      </c>
      <c r="D9" s="1">
        <v>10.931482442516799</v>
      </c>
      <c r="E9" s="1">
        <v>11.400986587650699</v>
      </c>
      <c r="F9" s="1">
        <v>11.2312064833734</v>
      </c>
      <c r="G9" s="1">
        <v>10.630059538914001</v>
      </c>
      <c r="H9" s="1">
        <v>11.262930144640899</v>
      </c>
      <c r="I9" s="1">
        <v>10.7512427238161</v>
      </c>
      <c r="J9" s="1">
        <v>11.3102320819754</v>
      </c>
      <c r="K9" s="1">
        <v>10.7294275642467</v>
      </c>
      <c r="L9" s="1">
        <v>10.765424677932799</v>
      </c>
      <c r="M9" s="1">
        <v>10.9283288666972</v>
      </c>
      <c r="N9" s="1">
        <v>10.5088118961523</v>
      </c>
      <c r="O9" s="1">
        <v>10.957531423989</v>
      </c>
      <c r="P9" s="1">
        <v>11.011499495035499</v>
      </c>
      <c r="Q9" s="1">
        <v>10.901032699923199</v>
      </c>
      <c r="R9" s="1">
        <v>10.5368330119819</v>
      </c>
      <c r="S9" s="1">
        <v>10.895304317992</v>
      </c>
      <c r="T9" s="1">
        <v>10.543301926443901</v>
      </c>
      <c r="U9" s="1">
        <v>11.6347537458165</v>
      </c>
    </row>
    <row r="10" spans="1:21" ht="15.6">
      <c r="A10">
        <v>9</v>
      </c>
      <c r="B10" s="1">
        <v>11.1753853645408</v>
      </c>
      <c r="C10" s="1">
        <v>11.165035785261701</v>
      </c>
      <c r="D10" s="1">
        <v>11.382518128606</v>
      </c>
      <c r="E10" s="1">
        <v>11.024586943659999</v>
      </c>
      <c r="F10" s="1">
        <v>11.000012462268799</v>
      </c>
      <c r="G10" s="1">
        <v>10.9005506658808</v>
      </c>
      <c r="H10" s="1">
        <v>11.6223895647519</v>
      </c>
      <c r="I10" s="1">
        <v>11.271951234351899</v>
      </c>
      <c r="J10" s="1">
        <v>10.515173069611199</v>
      </c>
      <c r="K10" s="1">
        <v>11.2928218140667</v>
      </c>
      <c r="L10" s="1">
        <v>11.040340883662701</v>
      </c>
      <c r="M10" s="1">
        <v>10.9506642732873</v>
      </c>
      <c r="N10" s="1">
        <v>11.651298937718501</v>
      </c>
      <c r="O10" s="1">
        <v>10.9520829299884</v>
      </c>
      <c r="P10" s="1">
        <v>11.138734746311099</v>
      </c>
      <c r="Q10" s="1">
        <v>11.403258032781901</v>
      </c>
      <c r="R10" s="1">
        <v>11.044919092170201</v>
      </c>
      <c r="S10" s="1">
        <v>10.6850460180002</v>
      </c>
      <c r="T10" s="1">
        <v>10.6479458668896</v>
      </c>
      <c r="U10" s="1">
        <v>11.320198113494399</v>
      </c>
    </row>
    <row r="11" spans="1:21" ht="15.6">
      <c r="A11">
        <v>10</v>
      </c>
      <c r="B11" s="1">
        <v>10.487045925022199</v>
      </c>
      <c r="C11" s="1">
        <v>10.983033611614299</v>
      </c>
      <c r="D11" s="1">
        <v>10.937743814371601</v>
      </c>
      <c r="E11" s="1">
        <v>11.010343403372399</v>
      </c>
      <c r="F11" s="1">
        <v>10.9862702713476</v>
      </c>
      <c r="G11" s="1">
        <v>10.969658401139201</v>
      </c>
      <c r="H11" s="1">
        <v>11.4280718931068</v>
      </c>
      <c r="I11" s="1">
        <v>11.2178378734602</v>
      </c>
      <c r="J11" s="1">
        <v>10.315136116018801</v>
      </c>
      <c r="K11" s="1">
        <v>10.605084391470699</v>
      </c>
      <c r="L11" s="1">
        <v>10.932954279521701</v>
      </c>
      <c r="M11" s="1">
        <v>11.1014013431601</v>
      </c>
      <c r="N11" s="1">
        <v>11.2430937028009</v>
      </c>
      <c r="O11" s="1">
        <v>10.783546198065</v>
      </c>
      <c r="P11" s="1">
        <v>10.577788755217499</v>
      </c>
      <c r="Q11" s="1">
        <v>10.5987223287592</v>
      </c>
      <c r="R11" s="1">
        <v>10.495167296323601</v>
      </c>
      <c r="S11" s="1">
        <v>11.22216091144</v>
      </c>
      <c r="T11" s="1">
        <v>11.276739214411601</v>
      </c>
      <c r="U11" s="1">
        <v>10.9800217494299</v>
      </c>
    </row>
    <row r="12" spans="1:21" ht="15.6">
      <c r="A12">
        <v>11</v>
      </c>
      <c r="B12" s="1">
        <v>10.911537500556401</v>
      </c>
      <c r="C12" s="1">
        <v>10.951194700525299</v>
      </c>
      <c r="D12" s="1">
        <v>10.733946646777699</v>
      </c>
      <c r="E12" s="1">
        <v>10.816457721825801</v>
      </c>
      <c r="F12" s="1">
        <v>11.227781816413501</v>
      </c>
      <c r="G12" s="1">
        <v>10.4857117239298</v>
      </c>
      <c r="H12" s="1">
        <v>10.550860363388299</v>
      </c>
      <c r="I12" s="1">
        <v>11.226583309580599</v>
      </c>
      <c r="J12" s="1">
        <v>11.147239295070399</v>
      </c>
      <c r="K12" s="1">
        <v>10.501435468004299</v>
      </c>
      <c r="L12" s="1">
        <v>10.8975318380608</v>
      </c>
      <c r="M12" s="1">
        <v>10.6451628848663</v>
      </c>
      <c r="N12" s="1">
        <v>11.0642452424261</v>
      </c>
      <c r="O12" s="1">
        <v>11.0451660333965</v>
      </c>
      <c r="P12" s="1">
        <v>11.753397178300601</v>
      </c>
      <c r="Q12" s="1">
        <v>11.2357945437896</v>
      </c>
      <c r="R12" s="1">
        <v>11.4558778733625</v>
      </c>
      <c r="S12" s="1">
        <v>11.023608756790001</v>
      </c>
      <c r="T12" s="1">
        <v>10.959200034969401</v>
      </c>
      <c r="U12" s="1">
        <v>11.4582767272403</v>
      </c>
    </row>
    <row r="13" spans="1:21" ht="15.6">
      <c r="A13">
        <v>12</v>
      </c>
      <c r="B13" s="1">
        <v>10.7941033687108</v>
      </c>
      <c r="C13" s="1">
        <v>10.9455984124642</v>
      </c>
      <c r="D13" s="1">
        <v>11.40086432453</v>
      </c>
      <c r="E13" s="1">
        <v>10.992296567496901</v>
      </c>
      <c r="F13" s="1">
        <v>11.1486459243523</v>
      </c>
      <c r="G13" s="1">
        <v>11.0672637857048</v>
      </c>
      <c r="H13" s="1">
        <v>10.184865919300799</v>
      </c>
      <c r="I13" s="1">
        <v>10.851028911418901</v>
      </c>
      <c r="J13" s="1">
        <v>11.1402582993514</v>
      </c>
      <c r="K13" s="1">
        <v>11.2511048104276</v>
      </c>
      <c r="L13" s="1">
        <v>10.8221693223685</v>
      </c>
      <c r="M13" s="1">
        <v>10.8176386905043</v>
      </c>
      <c r="N13" s="1">
        <v>10.756439885163299</v>
      </c>
      <c r="O13" s="1">
        <v>11.3166321188932</v>
      </c>
      <c r="P13" s="1">
        <v>11.0562446782303</v>
      </c>
      <c r="Q13" s="1">
        <v>10.765810451619499</v>
      </c>
      <c r="R13" s="1">
        <v>11.4934690250067</v>
      </c>
      <c r="S13" s="1">
        <v>10.934507809305501</v>
      </c>
      <c r="T13" s="1">
        <v>11.1935814607574</v>
      </c>
      <c r="U13" s="1">
        <v>10.6343424530566</v>
      </c>
    </row>
    <row r="14" spans="1:21" ht="15.6">
      <c r="A14">
        <v>13</v>
      </c>
      <c r="B14" s="1">
        <v>10.605735744300199</v>
      </c>
      <c r="C14" s="1">
        <v>10.9242230946621</v>
      </c>
      <c r="D14" s="1">
        <v>11.3086697867227</v>
      </c>
      <c r="E14" s="1">
        <v>11.0580867531561</v>
      </c>
      <c r="F14" s="1">
        <v>11.087550293468601</v>
      </c>
      <c r="G14" s="1">
        <v>10.7121973532984</v>
      </c>
      <c r="H14" s="1">
        <v>11.3156760134331</v>
      </c>
      <c r="I14" s="1">
        <v>11.367003266187799</v>
      </c>
      <c r="J14" s="1">
        <v>11.0332997552525</v>
      </c>
      <c r="K14" s="1">
        <v>10.7277330679351</v>
      </c>
      <c r="L14" s="1">
        <v>11.015361370896001</v>
      </c>
      <c r="M14" s="1">
        <v>11.286831960396301</v>
      </c>
      <c r="N14" s="1">
        <v>10.7134089035281</v>
      </c>
      <c r="O14" s="1">
        <v>10.9372076781404</v>
      </c>
      <c r="P14" s="1">
        <v>11.238545565447801</v>
      </c>
      <c r="Q14" s="1">
        <v>10.8598870547779</v>
      </c>
      <c r="R14" s="1">
        <v>10.4181099603747</v>
      </c>
      <c r="S14" s="1">
        <v>11.1021046092508</v>
      </c>
      <c r="T14" s="1">
        <v>10.663774318348301</v>
      </c>
      <c r="U14" s="1">
        <v>10.8781066163827</v>
      </c>
    </row>
    <row r="15" spans="1:21" ht="15.6">
      <c r="A15">
        <v>14</v>
      </c>
      <c r="B15" s="1">
        <v>11.1269936627265</v>
      </c>
      <c r="C15" s="1">
        <v>11.0057614061063</v>
      </c>
      <c r="D15" s="1">
        <v>10.942593387259199</v>
      </c>
      <c r="E15" s="1">
        <v>11.1065968893522</v>
      </c>
      <c r="F15" s="1">
        <v>11.312562807076301</v>
      </c>
      <c r="G15" s="1">
        <v>10.967015794214101</v>
      </c>
      <c r="H15" s="1">
        <v>10.3575264606927</v>
      </c>
      <c r="I15" s="1">
        <v>11.2312474802285</v>
      </c>
      <c r="J15" s="1">
        <v>11.1738395370728</v>
      </c>
      <c r="K15" s="1">
        <v>11.110595058248</v>
      </c>
      <c r="L15" s="1">
        <v>10.5384676909754</v>
      </c>
      <c r="M15" s="1">
        <v>11.149466158220401</v>
      </c>
      <c r="N15" s="1">
        <v>11.1369098761201</v>
      </c>
      <c r="O15" s="1">
        <v>10.9488574873342</v>
      </c>
      <c r="P15" s="1">
        <v>10.571569299469299</v>
      </c>
      <c r="Q15" s="1">
        <v>10.764869150473301</v>
      </c>
      <c r="R15" s="1">
        <v>11.680289567437301</v>
      </c>
      <c r="S15" s="1">
        <v>11.3456931421691</v>
      </c>
      <c r="T15" s="1">
        <v>10.4281691614725</v>
      </c>
      <c r="U15" s="1">
        <v>11.4943964062553</v>
      </c>
    </row>
    <row r="16" spans="1:21" ht="15.6">
      <c r="A16">
        <v>15</v>
      </c>
      <c r="B16" s="1">
        <v>11.0704960159176</v>
      </c>
      <c r="C16" s="1">
        <v>11.0128225889622</v>
      </c>
      <c r="D16" s="1">
        <v>10.6234600740051</v>
      </c>
      <c r="E16" s="1">
        <v>10.906797814569099</v>
      </c>
      <c r="F16" s="1">
        <v>11.2324473646394</v>
      </c>
      <c r="G16" s="1">
        <v>11.117674669334001</v>
      </c>
      <c r="H16" s="1">
        <v>11.023364919002899</v>
      </c>
      <c r="I16" s="1">
        <v>11.8780703656148</v>
      </c>
      <c r="J16" s="1">
        <v>11.378784208656199</v>
      </c>
      <c r="K16" s="1">
        <v>11.4922872983269</v>
      </c>
      <c r="L16" s="1">
        <v>10.900416720130499</v>
      </c>
      <c r="M16" s="1">
        <v>10.679679685226899</v>
      </c>
      <c r="N16" s="1">
        <v>11.391270996270601</v>
      </c>
      <c r="O16" s="1">
        <v>10.449619523490901</v>
      </c>
      <c r="P16" s="1">
        <v>11.384319268199199</v>
      </c>
      <c r="Q16" s="1">
        <v>11.201470155804101</v>
      </c>
      <c r="R16" s="1">
        <v>10.620355541716799</v>
      </c>
      <c r="S16" s="1">
        <v>11.137527099457101</v>
      </c>
      <c r="T16" s="1">
        <v>11.2664200986534</v>
      </c>
      <c r="U16" s="1">
        <v>11.525834025004</v>
      </c>
    </row>
    <row r="17" spans="1:21" ht="15.6">
      <c r="A17">
        <v>16</v>
      </c>
      <c r="B17" s="1">
        <v>11.0083699705611</v>
      </c>
      <c r="C17" s="1">
        <v>11.2065156975529</v>
      </c>
      <c r="D17" s="1">
        <v>10.888843045888301</v>
      </c>
      <c r="E17" s="1">
        <v>10.9408863540607</v>
      </c>
      <c r="F17" s="1">
        <v>11.0599408142646</v>
      </c>
      <c r="G17" s="1">
        <v>10.683371079263599</v>
      </c>
      <c r="H17" s="1">
        <v>11.012417820043201</v>
      </c>
      <c r="I17" s="1">
        <v>11.3722108736644</v>
      </c>
      <c r="J17" s="1">
        <v>11.339656725924099</v>
      </c>
      <c r="K17" s="1">
        <v>11.140393622506201</v>
      </c>
      <c r="L17" s="1">
        <v>10.864112969596899</v>
      </c>
      <c r="M17" s="1">
        <v>10.4491839394575</v>
      </c>
      <c r="N17" s="1">
        <v>10.576664084669799</v>
      </c>
      <c r="O17" s="1">
        <v>10.8063717238098</v>
      </c>
      <c r="P17" s="1">
        <v>11.175115580532999</v>
      </c>
      <c r="Q17" s="1">
        <v>10.7276672696027</v>
      </c>
      <c r="R17" s="1">
        <v>11.0793866412575</v>
      </c>
      <c r="S17" s="1">
        <v>11.0680929809091</v>
      </c>
      <c r="T17" s="1">
        <v>11.4176575030961</v>
      </c>
      <c r="U17" s="1">
        <v>11.255631598088099</v>
      </c>
    </row>
    <row r="18" spans="1:21" ht="15.6">
      <c r="A18">
        <v>17</v>
      </c>
      <c r="B18" s="1">
        <v>10.666580514143</v>
      </c>
      <c r="C18" s="1">
        <v>11.3817441716833</v>
      </c>
      <c r="D18" s="1">
        <v>10.9610147410688</v>
      </c>
      <c r="E18" s="1">
        <v>11.5059227216508</v>
      </c>
      <c r="F18" s="1">
        <v>10.8274097242222</v>
      </c>
      <c r="G18" s="1">
        <v>10.899110273578</v>
      </c>
      <c r="H18" s="1">
        <v>11.7795088273588</v>
      </c>
      <c r="I18" s="1">
        <v>11.4049225786646</v>
      </c>
      <c r="J18" s="1">
        <v>10.8010006503636</v>
      </c>
      <c r="K18" s="1">
        <v>11.325381099546901</v>
      </c>
      <c r="L18" s="1">
        <v>10.7720253739278</v>
      </c>
      <c r="M18" s="1">
        <v>10.8571884200522</v>
      </c>
      <c r="N18" s="1">
        <v>10.8876506600349</v>
      </c>
      <c r="O18" s="1">
        <v>10.651681853986201</v>
      </c>
      <c r="P18" s="1">
        <v>10.4797995117717</v>
      </c>
      <c r="Q18" s="1">
        <v>10.627753578990401</v>
      </c>
      <c r="R18" s="1">
        <v>11.384625220869699</v>
      </c>
      <c r="S18" s="1">
        <v>11.097924734768799</v>
      </c>
      <c r="T18" s="1">
        <v>11.5712200255723</v>
      </c>
      <c r="U18" s="1">
        <v>11.171763295166199</v>
      </c>
    </row>
    <row r="19" spans="1:21" ht="15.6">
      <c r="A19">
        <v>18</v>
      </c>
      <c r="B19" s="1">
        <v>11.2818730695854</v>
      </c>
      <c r="C19" s="1">
        <v>11.1167286089212</v>
      </c>
      <c r="D19" s="1">
        <v>11.069017063482899</v>
      </c>
      <c r="E19" s="1">
        <v>10.435411507375999</v>
      </c>
      <c r="F19" s="1">
        <v>10.837111589562401</v>
      </c>
      <c r="G19" s="1">
        <v>11.122521965137</v>
      </c>
      <c r="H19" s="1">
        <v>10.975775011092299</v>
      </c>
      <c r="I19" s="1">
        <v>11.018542589563999</v>
      </c>
      <c r="J19" s="1">
        <v>11.283490225661501</v>
      </c>
      <c r="K19" s="1">
        <v>10.4379692283827</v>
      </c>
      <c r="L19" s="1">
        <v>11.1631746477488</v>
      </c>
      <c r="M19" s="1">
        <v>11.053499119679101</v>
      </c>
      <c r="N19" s="1">
        <v>10.9789269818116</v>
      </c>
      <c r="O19" s="1">
        <v>10.903441337254099</v>
      </c>
      <c r="P19" s="1">
        <v>11.0178830571452</v>
      </c>
      <c r="Q19" s="1">
        <v>11.193542405450399</v>
      </c>
      <c r="R19" s="1">
        <v>11.0515160633653</v>
      </c>
      <c r="S19" s="1">
        <v>11.017927109145599</v>
      </c>
      <c r="T19" s="1">
        <v>10.463733638961999</v>
      </c>
      <c r="U19" s="1">
        <v>10.7948558511483</v>
      </c>
    </row>
    <row r="20" spans="1:21" ht="15.6">
      <c r="A20">
        <v>19</v>
      </c>
      <c r="B20" s="1">
        <v>11.087544852650799</v>
      </c>
      <c r="C20" s="1">
        <v>10.947571665402799</v>
      </c>
      <c r="D20" s="1">
        <v>10.9347090885559</v>
      </c>
      <c r="E20" s="1">
        <v>11.5573614201142</v>
      </c>
      <c r="F20" s="1">
        <v>11.298025467632799</v>
      </c>
      <c r="G20" s="1">
        <v>10.3574493001235</v>
      </c>
      <c r="H20" s="1">
        <v>10.822436927384899</v>
      </c>
      <c r="I20" s="1">
        <v>10.549064898970901</v>
      </c>
      <c r="J20" s="1">
        <v>11.0606365801412</v>
      </c>
      <c r="K20" s="1">
        <v>11.2315376854432</v>
      </c>
      <c r="L20" s="1">
        <v>10.8164321853523</v>
      </c>
      <c r="M20" s="1">
        <v>11.2355942333256</v>
      </c>
      <c r="N20" s="1">
        <v>10.502000705599199</v>
      </c>
      <c r="O20" s="1">
        <v>11.131396587529499</v>
      </c>
      <c r="P20" s="1">
        <v>10.797230628331601</v>
      </c>
      <c r="Q20" s="1">
        <v>10.851799906757201</v>
      </c>
      <c r="R20" s="1">
        <v>11.8034830345545</v>
      </c>
      <c r="S20" s="1">
        <v>10.7289368146212</v>
      </c>
      <c r="T20" s="1">
        <v>10.5321016583479</v>
      </c>
      <c r="U20" s="1">
        <v>11.2607148776485</v>
      </c>
    </row>
    <row r="21" spans="1:21" ht="15.6">
      <c r="A21">
        <v>20</v>
      </c>
      <c r="B21" s="2">
        <v>10.925233492416799</v>
      </c>
      <c r="C21" s="2">
        <v>11.156297589271899</v>
      </c>
      <c r="D21" s="2">
        <v>11.110855478226</v>
      </c>
      <c r="E21" s="2">
        <v>11.084390925153301</v>
      </c>
      <c r="F21" s="2">
        <v>10.5970424028305</v>
      </c>
      <c r="G21" s="2">
        <v>11.3625915678859</v>
      </c>
      <c r="H21" s="2">
        <v>11.0825333854017</v>
      </c>
      <c r="I21" s="2">
        <v>10.8700725633758</v>
      </c>
      <c r="J21" s="2">
        <v>10.8230601010196</v>
      </c>
      <c r="K21" s="2">
        <v>11.74847578884</v>
      </c>
      <c r="L21" s="2">
        <v>11.1351582724536</v>
      </c>
      <c r="M21" s="2">
        <v>11.0234313726667</v>
      </c>
      <c r="N21" s="2">
        <v>11.2103114165881</v>
      </c>
      <c r="O21" s="2">
        <v>11.380817318847701</v>
      </c>
      <c r="P21" s="2">
        <v>11.049161573749499</v>
      </c>
      <c r="Q21" s="2">
        <v>11.1265555076968</v>
      </c>
      <c r="R21" s="2">
        <v>11.9633952571584</v>
      </c>
      <c r="S21" s="2">
        <v>11.275373598641</v>
      </c>
      <c r="T21" s="2">
        <v>10.484153725697</v>
      </c>
      <c r="U21" s="3">
        <v>10.710145760568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BE95C-B1A2-4A5E-AFD1-B7F1B71DF3E2}">
  <dimension ref="A1:X77"/>
  <sheetViews>
    <sheetView zoomScale="70" zoomScaleNormal="88" workbookViewId="0">
      <selection activeCell="B30" sqref="B30:B49"/>
    </sheetView>
  </sheetViews>
  <sheetFormatPr defaultRowHeight="14.4"/>
  <sheetData>
    <row r="1" spans="1:12">
      <c r="A1" s="10" t="s">
        <v>32</v>
      </c>
      <c r="B1" s="10" t="s">
        <v>33</v>
      </c>
      <c r="C1" s="10" t="s">
        <v>34</v>
      </c>
      <c r="D1" s="10" t="s">
        <v>35</v>
      </c>
      <c r="E1" s="10" t="s">
        <v>36</v>
      </c>
      <c r="F1" s="10" t="s">
        <v>37</v>
      </c>
    </row>
    <row r="2" spans="1:12">
      <c r="A2" s="5">
        <v>1</v>
      </c>
      <c r="B2" s="5">
        <v>310</v>
      </c>
      <c r="C2" s="5"/>
      <c r="D2" s="11">
        <v>300.5</v>
      </c>
      <c r="E2" s="11">
        <v>321.21668533034716</v>
      </c>
      <c r="F2" s="11">
        <v>279.78331466965284</v>
      </c>
    </row>
    <row r="3" spans="1:12">
      <c r="A3" s="5">
        <v>2</v>
      </c>
      <c r="B3" s="5">
        <v>288</v>
      </c>
      <c r="C3" s="5">
        <f>ABS(B3-B2)</f>
        <v>22</v>
      </c>
      <c r="D3" s="11">
        <v>300.5</v>
      </c>
      <c r="E3" s="11">
        <v>321.21668533034716</v>
      </c>
      <c r="F3" s="11">
        <v>279.78331466965284</v>
      </c>
      <c r="K3" t="s">
        <v>38</v>
      </c>
    </row>
    <row r="4" spans="1:12">
      <c r="A4" s="5">
        <v>3</v>
      </c>
      <c r="B4" s="5">
        <v>297</v>
      </c>
      <c r="C4" s="5">
        <f t="shared" ref="C4:C21" si="0">ABS(B4-B3)</f>
        <v>9</v>
      </c>
      <c r="D4" s="11">
        <v>300.5</v>
      </c>
      <c r="E4" s="11">
        <v>321.21668533034716</v>
      </c>
      <c r="F4" s="11">
        <v>279.78331466965284</v>
      </c>
      <c r="K4" t="s">
        <v>39</v>
      </c>
      <c r="L4">
        <v>1.1279999999999999</v>
      </c>
    </row>
    <row r="5" spans="1:12">
      <c r="A5" s="5">
        <v>4</v>
      </c>
      <c r="B5" s="5">
        <v>298</v>
      </c>
      <c r="C5" s="5">
        <f t="shared" si="0"/>
        <v>1</v>
      </c>
      <c r="D5" s="11">
        <v>300.5</v>
      </c>
      <c r="E5" s="11">
        <v>321.21668533034716</v>
      </c>
      <c r="F5" s="11">
        <v>279.78331466965284</v>
      </c>
      <c r="K5" t="s">
        <v>40</v>
      </c>
      <c r="L5">
        <v>3.2669999999999999</v>
      </c>
    </row>
    <row r="6" spans="1:12">
      <c r="A6" s="5">
        <v>5</v>
      </c>
      <c r="B6" s="5">
        <v>307</v>
      </c>
      <c r="C6" s="5">
        <f t="shared" si="0"/>
        <v>9</v>
      </c>
      <c r="D6" s="11">
        <v>300.5</v>
      </c>
      <c r="E6" s="11">
        <v>321.21668533034716</v>
      </c>
      <c r="F6" s="11">
        <v>279.78331466965284</v>
      </c>
      <c r="K6" t="s">
        <v>41</v>
      </c>
      <c r="L6">
        <v>0</v>
      </c>
    </row>
    <row r="7" spans="1:12">
      <c r="A7" s="5">
        <v>6</v>
      </c>
      <c r="B7" s="5">
        <v>303</v>
      </c>
      <c r="C7" s="5">
        <f t="shared" si="0"/>
        <v>4</v>
      </c>
      <c r="D7" s="11">
        <v>300.5</v>
      </c>
      <c r="E7" s="11">
        <v>321.21668533034716</v>
      </c>
      <c r="F7" s="11">
        <v>279.78331466965284</v>
      </c>
    </row>
    <row r="8" spans="1:12">
      <c r="A8" s="5">
        <v>7</v>
      </c>
      <c r="B8" s="5">
        <v>294</v>
      </c>
      <c r="C8" s="5">
        <f t="shared" si="0"/>
        <v>9</v>
      </c>
      <c r="D8" s="11">
        <v>300.5</v>
      </c>
      <c r="E8" s="11">
        <v>321.21668533034716</v>
      </c>
      <c r="F8" s="11">
        <v>279.78331466965284</v>
      </c>
    </row>
    <row r="9" spans="1:12">
      <c r="A9" s="5">
        <v>8</v>
      </c>
      <c r="B9" s="5">
        <v>297</v>
      </c>
      <c r="C9" s="5">
        <f t="shared" si="0"/>
        <v>3</v>
      </c>
      <c r="D9" s="11">
        <v>300.5</v>
      </c>
      <c r="E9" s="11">
        <v>321.21668533034716</v>
      </c>
      <c r="F9" s="11">
        <v>279.78331466965284</v>
      </c>
    </row>
    <row r="10" spans="1:12">
      <c r="A10" s="5">
        <v>9</v>
      </c>
      <c r="B10" s="5">
        <v>308</v>
      </c>
      <c r="C10" s="5">
        <f t="shared" si="0"/>
        <v>11</v>
      </c>
      <c r="D10" s="11">
        <v>300.5</v>
      </c>
      <c r="E10" s="11">
        <v>321.21668533034716</v>
      </c>
      <c r="F10" s="11">
        <v>279.78331466965284</v>
      </c>
    </row>
    <row r="11" spans="1:12">
      <c r="A11" s="5">
        <v>10</v>
      </c>
      <c r="B11" s="5">
        <v>306</v>
      </c>
      <c r="C11" s="5">
        <f t="shared" si="0"/>
        <v>2</v>
      </c>
      <c r="D11" s="11">
        <v>300.5</v>
      </c>
      <c r="E11" s="11">
        <v>321.21668533034716</v>
      </c>
      <c r="F11" s="11">
        <v>279.78331466965284</v>
      </c>
    </row>
    <row r="12" spans="1:12">
      <c r="A12" s="5">
        <v>11</v>
      </c>
      <c r="B12" s="5">
        <v>294</v>
      </c>
      <c r="C12" s="5">
        <f t="shared" si="0"/>
        <v>12</v>
      </c>
      <c r="D12" s="11">
        <v>300.5</v>
      </c>
      <c r="E12" s="11">
        <v>321.21668533034716</v>
      </c>
      <c r="F12" s="11">
        <v>279.78331466965284</v>
      </c>
    </row>
    <row r="13" spans="1:12">
      <c r="A13" s="5">
        <v>12</v>
      </c>
      <c r="B13" s="5">
        <v>299</v>
      </c>
      <c r="C13" s="5">
        <f t="shared" si="0"/>
        <v>5</v>
      </c>
      <c r="D13" s="11">
        <v>300.5</v>
      </c>
      <c r="E13" s="11">
        <v>321.21668533034716</v>
      </c>
      <c r="F13" s="11">
        <v>279.78331466965284</v>
      </c>
    </row>
    <row r="14" spans="1:12">
      <c r="A14" s="5">
        <v>13</v>
      </c>
      <c r="B14" s="5">
        <v>297</v>
      </c>
      <c r="C14" s="5">
        <f t="shared" si="0"/>
        <v>2</v>
      </c>
      <c r="D14" s="11">
        <v>300.5</v>
      </c>
      <c r="E14" s="11">
        <v>321.21668533034716</v>
      </c>
      <c r="F14" s="11">
        <v>279.78331466965284</v>
      </c>
    </row>
    <row r="15" spans="1:12">
      <c r="A15" s="5">
        <v>14</v>
      </c>
      <c r="B15" s="5">
        <v>299</v>
      </c>
      <c r="C15" s="5">
        <f t="shared" si="0"/>
        <v>2</v>
      </c>
      <c r="D15" s="11">
        <v>300.5</v>
      </c>
      <c r="E15" s="11">
        <v>321.21668533034716</v>
      </c>
      <c r="F15" s="11">
        <v>279.78331466965284</v>
      </c>
    </row>
    <row r="16" spans="1:12">
      <c r="A16" s="5">
        <v>15</v>
      </c>
      <c r="B16" s="5">
        <v>314</v>
      </c>
      <c r="C16" s="5">
        <f t="shared" si="0"/>
        <v>15</v>
      </c>
      <c r="D16" s="11">
        <v>300.5</v>
      </c>
      <c r="E16" s="11">
        <v>321.21668533034716</v>
      </c>
      <c r="F16" s="11">
        <v>279.78331466965284</v>
      </c>
    </row>
    <row r="17" spans="1:6">
      <c r="A17" s="5">
        <v>16</v>
      </c>
      <c r="B17" s="5">
        <v>295</v>
      </c>
      <c r="C17" s="5">
        <f t="shared" si="0"/>
        <v>19</v>
      </c>
      <c r="D17" s="11">
        <v>300.5</v>
      </c>
      <c r="E17" s="11">
        <v>321.21668533034716</v>
      </c>
      <c r="F17" s="11">
        <v>279.78331466965284</v>
      </c>
    </row>
    <row r="18" spans="1:6">
      <c r="A18" s="5">
        <v>17</v>
      </c>
      <c r="B18" s="5">
        <v>293</v>
      </c>
      <c r="C18" s="5">
        <f t="shared" si="0"/>
        <v>2</v>
      </c>
      <c r="D18" s="11">
        <v>300.5</v>
      </c>
      <c r="E18" s="11">
        <v>321.21668533034716</v>
      </c>
      <c r="F18" s="11">
        <v>279.78331466965284</v>
      </c>
    </row>
    <row r="19" spans="1:6">
      <c r="A19" s="5">
        <v>18</v>
      </c>
      <c r="B19" s="5">
        <v>306</v>
      </c>
      <c r="C19" s="5">
        <f t="shared" si="0"/>
        <v>13</v>
      </c>
      <c r="D19" s="11">
        <v>300.5</v>
      </c>
      <c r="E19" s="11">
        <v>321.21668533034716</v>
      </c>
      <c r="F19" s="11">
        <v>279.78331466965284</v>
      </c>
    </row>
    <row r="20" spans="1:6">
      <c r="A20" s="5">
        <v>19</v>
      </c>
      <c r="B20" s="5">
        <v>301</v>
      </c>
      <c r="C20" s="5">
        <f t="shared" si="0"/>
        <v>5</v>
      </c>
      <c r="D20" s="11">
        <v>300.5</v>
      </c>
      <c r="E20" s="11">
        <v>321.21668533034716</v>
      </c>
      <c r="F20" s="11">
        <v>279.78331466965284</v>
      </c>
    </row>
    <row r="21" spans="1:6">
      <c r="A21" s="5">
        <v>20</v>
      </c>
      <c r="B21" s="5">
        <v>304</v>
      </c>
      <c r="C21" s="5">
        <f t="shared" si="0"/>
        <v>3</v>
      </c>
      <c r="D21" s="11">
        <v>300.5</v>
      </c>
      <c r="E21" s="11">
        <v>321.21668533034716</v>
      </c>
      <c r="F21" s="11">
        <v>279.78331466965284</v>
      </c>
    </row>
    <row r="22" spans="1:6">
      <c r="B22">
        <f>AVERAGE(B2:B21)</f>
        <v>300.5</v>
      </c>
      <c r="C22">
        <f>SUM(C3:C21)/19</f>
        <v>7.7894736842105265</v>
      </c>
    </row>
    <row r="23" spans="1:6">
      <c r="B23" t="s">
        <v>42</v>
      </c>
      <c r="C23" t="s">
        <v>43</v>
      </c>
    </row>
    <row r="25" spans="1:6">
      <c r="A25" t="s">
        <v>44</v>
      </c>
    </row>
    <row r="26" spans="1:6">
      <c r="A26" t="s">
        <v>36</v>
      </c>
      <c r="B26" s="12">
        <f>$B$22+3*($C$22/$L$4)</f>
        <v>321.21668533034716</v>
      </c>
    </row>
    <row r="27" spans="1:6">
      <c r="A27" t="s">
        <v>37</v>
      </c>
      <c r="B27" s="12">
        <f>$B$22-3*($C$22/$L$4)</f>
        <v>279.78331466965284</v>
      </c>
    </row>
    <row r="29" spans="1:6">
      <c r="A29" s="10" t="s">
        <v>32</v>
      </c>
      <c r="B29" s="10" t="s">
        <v>33</v>
      </c>
      <c r="C29" s="10" t="s">
        <v>34</v>
      </c>
      <c r="D29" s="10" t="s">
        <v>45</v>
      </c>
      <c r="E29" s="10" t="s">
        <v>36</v>
      </c>
      <c r="F29" s="10" t="s">
        <v>37</v>
      </c>
    </row>
    <row r="30" spans="1:6">
      <c r="A30" s="5">
        <v>1</v>
      </c>
      <c r="B30" s="5">
        <v>310</v>
      </c>
      <c r="C30" s="5"/>
      <c r="D30" s="11">
        <v>7.7894736842105265</v>
      </c>
      <c r="E30" s="11">
        <v>25.448210526315791</v>
      </c>
      <c r="F30" s="11">
        <v>0</v>
      </c>
    </row>
    <row r="31" spans="1:6">
      <c r="A31" s="5">
        <v>2</v>
      </c>
      <c r="B31" s="5">
        <v>288</v>
      </c>
      <c r="C31" s="5">
        <f>ABS(B31-B30)</f>
        <v>22</v>
      </c>
      <c r="D31" s="11">
        <v>7.7894736842105265</v>
      </c>
      <c r="E31" s="11">
        <v>25.448210526315791</v>
      </c>
      <c r="F31" s="11">
        <v>0</v>
      </c>
    </row>
    <row r="32" spans="1:6">
      <c r="A32" s="5">
        <v>3</v>
      </c>
      <c r="B32" s="5">
        <v>297</v>
      </c>
      <c r="C32" s="5">
        <f t="shared" ref="C32:C49" si="1">ABS(B32-B31)</f>
        <v>9</v>
      </c>
      <c r="D32" s="11">
        <v>7.7894736842105265</v>
      </c>
      <c r="E32" s="11">
        <v>25.448210526315791</v>
      </c>
      <c r="F32" s="11">
        <v>0</v>
      </c>
    </row>
    <row r="33" spans="1:6">
      <c r="A33" s="5">
        <v>4</v>
      </c>
      <c r="B33" s="5">
        <v>298</v>
      </c>
      <c r="C33" s="5">
        <f t="shared" si="1"/>
        <v>1</v>
      </c>
      <c r="D33" s="11">
        <v>7.7894736842105265</v>
      </c>
      <c r="E33" s="11">
        <v>25.448210526315791</v>
      </c>
      <c r="F33" s="11">
        <v>0</v>
      </c>
    </row>
    <row r="34" spans="1:6">
      <c r="A34" s="5">
        <v>5</v>
      </c>
      <c r="B34" s="5">
        <v>307</v>
      </c>
      <c r="C34" s="5">
        <f t="shared" si="1"/>
        <v>9</v>
      </c>
      <c r="D34" s="11">
        <v>7.7894736842105265</v>
      </c>
      <c r="E34" s="11">
        <v>25.448210526315791</v>
      </c>
      <c r="F34" s="11">
        <v>0</v>
      </c>
    </row>
    <row r="35" spans="1:6">
      <c r="A35" s="5">
        <v>6</v>
      </c>
      <c r="B35" s="5">
        <v>303</v>
      </c>
      <c r="C35" s="5">
        <f t="shared" si="1"/>
        <v>4</v>
      </c>
      <c r="D35" s="11">
        <v>7.7894736842105265</v>
      </c>
      <c r="E35" s="11">
        <v>25.448210526315791</v>
      </c>
      <c r="F35" s="11">
        <v>0</v>
      </c>
    </row>
    <row r="36" spans="1:6">
      <c r="A36" s="5">
        <v>7</v>
      </c>
      <c r="B36" s="5">
        <v>294</v>
      </c>
      <c r="C36" s="5">
        <f t="shared" si="1"/>
        <v>9</v>
      </c>
      <c r="D36" s="11">
        <v>7.7894736842105265</v>
      </c>
      <c r="E36" s="11">
        <v>25.448210526315791</v>
      </c>
      <c r="F36" s="11">
        <v>0</v>
      </c>
    </row>
    <row r="37" spans="1:6">
      <c r="A37" s="5">
        <v>8</v>
      </c>
      <c r="B37" s="5">
        <v>297</v>
      </c>
      <c r="C37" s="5">
        <f t="shared" si="1"/>
        <v>3</v>
      </c>
      <c r="D37" s="11">
        <v>7.7894736842105265</v>
      </c>
      <c r="E37" s="11">
        <v>25.448210526315791</v>
      </c>
      <c r="F37" s="11">
        <v>0</v>
      </c>
    </row>
    <row r="38" spans="1:6">
      <c r="A38" s="5">
        <v>9</v>
      </c>
      <c r="B38" s="5">
        <v>308</v>
      </c>
      <c r="C38" s="5">
        <f t="shared" si="1"/>
        <v>11</v>
      </c>
      <c r="D38" s="11">
        <v>7.7894736842105265</v>
      </c>
      <c r="E38" s="11">
        <v>25.448210526315791</v>
      </c>
      <c r="F38" s="11">
        <v>0</v>
      </c>
    </row>
    <row r="39" spans="1:6">
      <c r="A39" s="5">
        <v>10</v>
      </c>
      <c r="B39" s="5">
        <v>306</v>
      </c>
      <c r="C39" s="5">
        <f t="shared" si="1"/>
        <v>2</v>
      </c>
      <c r="D39" s="11">
        <v>7.7894736842105265</v>
      </c>
      <c r="E39" s="11">
        <v>25.448210526315791</v>
      </c>
      <c r="F39" s="11">
        <v>0</v>
      </c>
    </row>
    <row r="40" spans="1:6">
      <c r="A40" s="5">
        <v>11</v>
      </c>
      <c r="B40" s="5">
        <v>294</v>
      </c>
      <c r="C40" s="5">
        <f t="shared" si="1"/>
        <v>12</v>
      </c>
      <c r="D40" s="11">
        <v>7.7894736842105265</v>
      </c>
      <c r="E40" s="11">
        <v>25.448210526315791</v>
      </c>
      <c r="F40" s="11">
        <v>0</v>
      </c>
    </row>
    <row r="41" spans="1:6">
      <c r="A41" s="5">
        <v>12</v>
      </c>
      <c r="B41" s="5">
        <v>299</v>
      </c>
      <c r="C41" s="5">
        <f t="shared" si="1"/>
        <v>5</v>
      </c>
      <c r="D41" s="11">
        <v>7.7894736842105265</v>
      </c>
      <c r="E41" s="11">
        <v>25.448210526315791</v>
      </c>
      <c r="F41" s="11">
        <v>0</v>
      </c>
    </row>
    <row r="42" spans="1:6">
      <c r="A42" s="5">
        <v>13</v>
      </c>
      <c r="B42" s="5">
        <v>297</v>
      </c>
      <c r="C42" s="5">
        <f t="shared" si="1"/>
        <v>2</v>
      </c>
      <c r="D42" s="11">
        <v>7.7894736842105265</v>
      </c>
      <c r="E42" s="11">
        <v>25.448210526315791</v>
      </c>
      <c r="F42" s="11">
        <v>0</v>
      </c>
    </row>
    <row r="43" spans="1:6">
      <c r="A43" s="5">
        <v>14</v>
      </c>
      <c r="B43" s="5">
        <v>299</v>
      </c>
      <c r="C43" s="5">
        <f t="shared" si="1"/>
        <v>2</v>
      </c>
      <c r="D43" s="11">
        <v>7.7894736842105265</v>
      </c>
      <c r="E43" s="11">
        <v>25.448210526315791</v>
      </c>
      <c r="F43" s="11">
        <v>0</v>
      </c>
    </row>
    <row r="44" spans="1:6">
      <c r="A44" s="5">
        <v>15</v>
      </c>
      <c r="B44" s="5">
        <v>314</v>
      </c>
      <c r="C44" s="5">
        <f t="shared" si="1"/>
        <v>15</v>
      </c>
      <c r="D44" s="11">
        <v>7.7894736842105265</v>
      </c>
      <c r="E44" s="11">
        <v>25.448210526315791</v>
      </c>
      <c r="F44" s="11">
        <v>0</v>
      </c>
    </row>
    <row r="45" spans="1:6">
      <c r="A45" s="5">
        <v>16</v>
      </c>
      <c r="B45" s="5">
        <v>295</v>
      </c>
      <c r="C45" s="5">
        <f t="shared" si="1"/>
        <v>19</v>
      </c>
      <c r="D45" s="11">
        <v>7.7894736842105265</v>
      </c>
      <c r="E45" s="11">
        <v>25.448210526315791</v>
      </c>
      <c r="F45" s="11">
        <v>0</v>
      </c>
    </row>
    <row r="46" spans="1:6">
      <c r="A46" s="5">
        <v>17</v>
      </c>
      <c r="B46" s="5">
        <v>293</v>
      </c>
      <c r="C46" s="5">
        <f t="shared" si="1"/>
        <v>2</v>
      </c>
      <c r="D46" s="11">
        <v>7.7894736842105265</v>
      </c>
      <c r="E46" s="11">
        <v>25.448210526315791</v>
      </c>
      <c r="F46" s="11">
        <v>0</v>
      </c>
    </row>
    <row r="47" spans="1:6">
      <c r="A47" s="5">
        <v>18</v>
      </c>
      <c r="B47" s="5">
        <v>306</v>
      </c>
      <c r="C47" s="5">
        <f t="shared" si="1"/>
        <v>13</v>
      </c>
      <c r="D47" s="11">
        <v>7.7894736842105265</v>
      </c>
      <c r="E47" s="11">
        <v>25.448210526315791</v>
      </c>
      <c r="F47" s="11">
        <v>0</v>
      </c>
    </row>
    <row r="48" spans="1:6">
      <c r="A48" s="5">
        <v>19</v>
      </c>
      <c r="B48" s="5">
        <v>301</v>
      </c>
      <c r="C48" s="5">
        <f t="shared" si="1"/>
        <v>5</v>
      </c>
      <c r="D48" s="11">
        <v>7.7894736842105265</v>
      </c>
      <c r="E48" s="11">
        <v>25.448210526315791</v>
      </c>
      <c r="F48" s="11">
        <v>0</v>
      </c>
    </row>
    <row r="49" spans="1:24">
      <c r="A49" s="5">
        <v>20</v>
      </c>
      <c r="B49" s="5">
        <v>304</v>
      </c>
      <c r="C49" s="5">
        <f t="shared" si="1"/>
        <v>3</v>
      </c>
      <c r="D49" s="11">
        <v>7.7894736842105265</v>
      </c>
      <c r="E49" s="11">
        <v>25.448210526315791</v>
      </c>
      <c r="F49" s="11">
        <v>0</v>
      </c>
    </row>
    <row r="50" spans="1:24">
      <c r="B50">
        <f>AVERAGE(B30:B49)</f>
        <v>300.5</v>
      </c>
      <c r="C50">
        <f>SUM(C31:C49)/19</f>
        <v>7.7894736842105265</v>
      </c>
    </row>
    <row r="51" spans="1:24">
      <c r="B51" t="s">
        <v>42</v>
      </c>
      <c r="C51" t="s">
        <v>43</v>
      </c>
    </row>
    <row r="53" spans="1:24">
      <c r="A53" t="s">
        <v>46</v>
      </c>
    </row>
    <row r="54" spans="1:24">
      <c r="A54" t="s">
        <v>36</v>
      </c>
      <c r="B54">
        <f>$L$5*$C$22</f>
        <v>25.448210526315791</v>
      </c>
    </row>
    <row r="55" spans="1:24">
      <c r="A55" t="s">
        <v>37</v>
      </c>
      <c r="B55">
        <f>$L$6*$C$22</f>
        <v>0</v>
      </c>
    </row>
    <row r="56" spans="1:24">
      <c r="D56" s="13" t="s">
        <v>47</v>
      </c>
      <c r="E56" s="13"/>
      <c r="F56" s="13"/>
      <c r="G56" s="14" t="s">
        <v>48</v>
      </c>
      <c r="H56" s="14"/>
      <c r="I56" s="14"/>
    </row>
    <row r="57" spans="1:24">
      <c r="A57" s="15" t="s">
        <v>49</v>
      </c>
      <c r="B57" s="15" t="s">
        <v>33</v>
      </c>
      <c r="C57" s="15" t="s">
        <v>50</v>
      </c>
      <c r="D57" s="16" t="s">
        <v>42</v>
      </c>
      <c r="E57" s="17" t="s">
        <v>36</v>
      </c>
      <c r="F57" s="17" t="s">
        <v>37</v>
      </c>
      <c r="G57" s="4" t="s">
        <v>45</v>
      </c>
      <c r="H57" s="4" t="s">
        <v>36</v>
      </c>
      <c r="I57" s="4" t="s">
        <v>37</v>
      </c>
    </row>
    <row r="58" spans="1:24">
      <c r="A58" s="8">
        <v>21</v>
      </c>
      <c r="B58" s="8">
        <v>305</v>
      </c>
      <c r="C58" s="8"/>
      <c r="D58" s="18">
        <v>300.5</v>
      </c>
      <c r="E58" s="18">
        <v>321.21668533034716</v>
      </c>
      <c r="F58" s="18">
        <v>279.78331466965284</v>
      </c>
      <c r="G58" s="18">
        <v>7.7894736842105265</v>
      </c>
      <c r="H58" s="18">
        <v>25.448210526315791</v>
      </c>
      <c r="I58" s="18">
        <v>0</v>
      </c>
      <c r="X58" t="s">
        <v>51</v>
      </c>
    </row>
    <row r="59" spans="1:24">
      <c r="A59" s="8">
        <v>22</v>
      </c>
      <c r="B59" s="8">
        <v>282</v>
      </c>
      <c r="C59" s="8">
        <f>ABS(B59-B58)</f>
        <v>23</v>
      </c>
      <c r="D59" s="18">
        <v>300.5</v>
      </c>
      <c r="E59" s="18">
        <v>321.21668533034716</v>
      </c>
      <c r="F59" s="18">
        <v>279.78331466965284</v>
      </c>
      <c r="G59" s="18">
        <v>7.7894736842105265</v>
      </c>
      <c r="H59" s="18">
        <v>25.448210526315791</v>
      </c>
      <c r="I59" s="18">
        <v>0</v>
      </c>
    </row>
    <row r="60" spans="1:24">
      <c r="A60" s="8">
        <v>23</v>
      </c>
      <c r="B60" s="8">
        <v>305</v>
      </c>
      <c r="C60" s="8">
        <f t="shared" ref="C60:C77" si="2">ABS(B60-B59)</f>
        <v>23</v>
      </c>
      <c r="D60" s="18">
        <v>300.5</v>
      </c>
      <c r="E60" s="18">
        <v>321.21668533034716</v>
      </c>
      <c r="F60" s="18">
        <v>279.78331466965284</v>
      </c>
      <c r="G60" s="18">
        <v>7.7894736842105265</v>
      </c>
      <c r="H60" s="18">
        <v>25.448210526315791</v>
      </c>
      <c r="I60" s="18">
        <v>0</v>
      </c>
    </row>
    <row r="61" spans="1:24">
      <c r="A61" s="8">
        <v>24</v>
      </c>
      <c r="B61" s="8">
        <v>296</v>
      </c>
      <c r="C61" s="8">
        <f t="shared" si="2"/>
        <v>9</v>
      </c>
      <c r="D61" s="18">
        <v>300.5</v>
      </c>
      <c r="E61" s="18">
        <v>321.21668533034716</v>
      </c>
      <c r="F61" s="18">
        <v>279.78331466965284</v>
      </c>
      <c r="G61" s="18">
        <v>7.7894736842105265</v>
      </c>
      <c r="H61" s="18">
        <v>25.448210526315791</v>
      </c>
      <c r="I61" s="18">
        <v>0</v>
      </c>
    </row>
    <row r="62" spans="1:24">
      <c r="A62" s="8">
        <v>25</v>
      </c>
      <c r="B62" s="8">
        <v>314</v>
      </c>
      <c r="C62" s="8">
        <f t="shared" si="2"/>
        <v>18</v>
      </c>
      <c r="D62" s="18">
        <v>300.5</v>
      </c>
      <c r="E62" s="18">
        <v>321.21668533034716</v>
      </c>
      <c r="F62" s="18">
        <v>279.78331466965284</v>
      </c>
      <c r="G62" s="18">
        <v>7.7894736842105265</v>
      </c>
      <c r="H62" s="18">
        <v>25.448210526315791</v>
      </c>
      <c r="I62" s="18">
        <v>0</v>
      </c>
    </row>
    <row r="63" spans="1:24">
      <c r="A63" s="8">
        <v>26</v>
      </c>
      <c r="B63" s="8">
        <v>295</v>
      </c>
      <c r="C63" s="8">
        <f t="shared" si="2"/>
        <v>19</v>
      </c>
      <c r="D63" s="18">
        <v>300.5</v>
      </c>
      <c r="E63" s="18">
        <v>321.21668533034716</v>
      </c>
      <c r="F63" s="18">
        <v>279.78331466965284</v>
      </c>
      <c r="G63" s="18">
        <v>7.7894736842105265</v>
      </c>
      <c r="H63" s="18">
        <v>25.448210526315791</v>
      </c>
      <c r="I63" s="18">
        <v>0</v>
      </c>
    </row>
    <row r="64" spans="1:24">
      <c r="A64" s="8">
        <v>27</v>
      </c>
      <c r="B64" s="8">
        <v>287</v>
      </c>
      <c r="C64" s="8">
        <f t="shared" si="2"/>
        <v>8</v>
      </c>
      <c r="D64" s="18">
        <v>300.5</v>
      </c>
      <c r="E64" s="18">
        <v>321.21668533034716</v>
      </c>
      <c r="F64" s="18">
        <v>279.78331466965284</v>
      </c>
      <c r="G64" s="18">
        <v>7.7894736842105265</v>
      </c>
      <c r="H64" s="18">
        <v>25.448210526315791</v>
      </c>
      <c r="I64" s="18">
        <v>0</v>
      </c>
    </row>
    <row r="65" spans="1:24">
      <c r="A65" s="8">
        <v>28</v>
      </c>
      <c r="B65" s="8">
        <v>301</v>
      </c>
      <c r="C65" s="8">
        <f t="shared" si="2"/>
        <v>14</v>
      </c>
      <c r="D65" s="18">
        <v>300.5</v>
      </c>
      <c r="E65" s="18">
        <v>321.21668533034716</v>
      </c>
      <c r="F65" s="18">
        <v>279.78331466965284</v>
      </c>
      <c r="G65" s="18">
        <v>7.7894736842105265</v>
      </c>
      <c r="H65" s="18">
        <v>25.448210526315791</v>
      </c>
      <c r="I65" s="18">
        <v>0</v>
      </c>
    </row>
    <row r="66" spans="1:24">
      <c r="A66" s="8">
        <v>29</v>
      </c>
      <c r="B66" s="8">
        <v>298</v>
      </c>
      <c r="C66" s="8">
        <f t="shared" si="2"/>
        <v>3</v>
      </c>
      <c r="D66" s="18">
        <v>300.5</v>
      </c>
      <c r="E66" s="18">
        <v>321.21668533034716</v>
      </c>
      <c r="F66" s="18">
        <v>279.78331466965284</v>
      </c>
      <c r="G66" s="18">
        <v>7.7894736842105265</v>
      </c>
      <c r="H66" s="18">
        <v>25.448210526315791</v>
      </c>
      <c r="I66" s="18">
        <v>0</v>
      </c>
    </row>
    <row r="67" spans="1:24">
      <c r="A67" s="8">
        <v>30</v>
      </c>
      <c r="B67" s="8">
        <v>311</v>
      </c>
      <c r="C67" s="8">
        <f t="shared" si="2"/>
        <v>13</v>
      </c>
      <c r="D67" s="18">
        <v>300.5</v>
      </c>
      <c r="E67" s="18">
        <v>321.21668533034716</v>
      </c>
      <c r="F67" s="18">
        <v>279.78331466965284</v>
      </c>
      <c r="G67" s="18">
        <v>7.7894736842105265</v>
      </c>
      <c r="H67" s="18">
        <v>25.448210526315791</v>
      </c>
      <c r="I67" s="18">
        <v>0</v>
      </c>
    </row>
    <row r="68" spans="1:24">
      <c r="A68" s="8">
        <v>31</v>
      </c>
      <c r="B68" s="8">
        <v>310</v>
      </c>
      <c r="C68" s="8">
        <f t="shared" si="2"/>
        <v>1</v>
      </c>
      <c r="D68" s="18">
        <v>300.5</v>
      </c>
      <c r="E68" s="18">
        <v>321.21668533034716</v>
      </c>
      <c r="F68" s="18">
        <v>279.78331466965284</v>
      </c>
      <c r="G68" s="18">
        <v>7.7894736842105265</v>
      </c>
      <c r="H68" s="18">
        <v>25.448210526315791</v>
      </c>
      <c r="I68" s="18">
        <v>0</v>
      </c>
    </row>
    <row r="69" spans="1:24">
      <c r="A69" s="8">
        <v>32</v>
      </c>
      <c r="B69" s="8">
        <v>292</v>
      </c>
      <c r="C69" s="8">
        <f t="shared" si="2"/>
        <v>18</v>
      </c>
      <c r="D69" s="18">
        <v>300.5</v>
      </c>
      <c r="E69" s="18">
        <v>321.21668533034716</v>
      </c>
      <c r="F69" s="18">
        <v>279.78331466965284</v>
      </c>
      <c r="G69" s="18">
        <v>7.7894736842105265</v>
      </c>
      <c r="H69" s="18">
        <v>25.448210526315791</v>
      </c>
      <c r="I69" s="18">
        <v>0</v>
      </c>
    </row>
    <row r="70" spans="1:24">
      <c r="A70" s="8">
        <v>33</v>
      </c>
      <c r="B70" s="8">
        <v>305</v>
      </c>
      <c r="C70" s="8">
        <f t="shared" si="2"/>
        <v>13</v>
      </c>
      <c r="D70" s="18">
        <v>300.5</v>
      </c>
      <c r="E70" s="18">
        <v>321.21668533034716</v>
      </c>
      <c r="F70" s="18">
        <v>279.78331466965284</v>
      </c>
      <c r="G70" s="18">
        <v>7.7894736842105265</v>
      </c>
      <c r="H70" s="18">
        <v>25.448210526315791</v>
      </c>
      <c r="I70" s="18">
        <v>0</v>
      </c>
    </row>
    <row r="71" spans="1:24">
      <c r="A71" s="8">
        <v>34</v>
      </c>
      <c r="B71" s="8">
        <v>299</v>
      </c>
      <c r="C71" s="8">
        <f t="shared" si="2"/>
        <v>6</v>
      </c>
      <c r="D71" s="18">
        <v>300.5</v>
      </c>
      <c r="E71" s="18">
        <v>321.21668533034716</v>
      </c>
      <c r="F71" s="18">
        <v>279.78331466965284</v>
      </c>
      <c r="G71" s="18">
        <v>7.7894736842105265</v>
      </c>
      <c r="H71" s="18">
        <v>25.448210526315791</v>
      </c>
      <c r="I71" s="18">
        <v>0</v>
      </c>
    </row>
    <row r="72" spans="1:24">
      <c r="A72" s="8">
        <v>35</v>
      </c>
      <c r="B72" s="8">
        <v>304</v>
      </c>
      <c r="C72" s="8">
        <f t="shared" si="2"/>
        <v>5</v>
      </c>
      <c r="D72" s="18">
        <v>300.5</v>
      </c>
      <c r="E72" s="18">
        <v>321.21668533034716</v>
      </c>
      <c r="F72" s="18">
        <v>279.78331466965284</v>
      </c>
      <c r="G72" s="18">
        <v>7.7894736842105265</v>
      </c>
      <c r="H72" s="18">
        <v>25.448210526315791</v>
      </c>
      <c r="I72" s="18">
        <v>0</v>
      </c>
    </row>
    <row r="73" spans="1:24">
      <c r="A73" s="8">
        <v>36</v>
      </c>
      <c r="B73" s="8">
        <v>310</v>
      </c>
      <c r="C73" s="8">
        <f t="shared" si="2"/>
        <v>6</v>
      </c>
      <c r="D73" s="18">
        <v>300.5</v>
      </c>
      <c r="E73" s="18">
        <v>321.21668533034716</v>
      </c>
      <c r="F73" s="18">
        <v>279.78331466965284</v>
      </c>
      <c r="G73" s="18">
        <v>7.7894736842105265</v>
      </c>
      <c r="H73" s="18">
        <v>25.448210526315791</v>
      </c>
      <c r="I73" s="18">
        <v>0</v>
      </c>
      <c r="X73" t="s">
        <v>52</v>
      </c>
    </row>
    <row r="74" spans="1:24">
      <c r="A74" s="8">
        <v>37</v>
      </c>
      <c r="B74" s="8">
        <v>304</v>
      </c>
      <c r="C74" s="8">
        <f t="shared" si="2"/>
        <v>6</v>
      </c>
      <c r="D74" s="18">
        <v>300.5</v>
      </c>
      <c r="E74" s="18">
        <v>321.21668533034716</v>
      </c>
      <c r="F74" s="18">
        <v>279.78331466965284</v>
      </c>
      <c r="G74" s="18">
        <v>7.7894736842105265</v>
      </c>
      <c r="H74" s="18">
        <v>25.448210526315791</v>
      </c>
      <c r="I74" s="18">
        <v>0</v>
      </c>
    </row>
    <row r="75" spans="1:24">
      <c r="A75" s="8">
        <v>38</v>
      </c>
      <c r="B75" s="8">
        <v>305</v>
      </c>
      <c r="C75" s="8">
        <f t="shared" si="2"/>
        <v>1</v>
      </c>
      <c r="D75" s="18">
        <v>300.5</v>
      </c>
      <c r="E75" s="18">
        <v>321.21668533034716</v>
      </c>
      <c r="F75" s="18">
        <v>279.78331466965284</v>
      </c>
      <c r="G75" s="18">
        <v>7.7894736842105265</v>
      </c>
      <c r="H75" s="18">
        <v>25.448210526315791</v>
      </c>
      <c r="I75" s="18">
        <v>0</v>
      </c>
    </row>
    <row r="76" spans="1:24">
      <c r="A76" s="8">
        <v>39</v>
      </c>
      <c r="B76" s="8">
        <v>333</v>
      </c>
      <c r="C76" s="8">
        <f t="shared" si="2"/>
        <v>28</v>
      </c>
      <c r="D76" s="18">
        <v>300.5</v>
      </c>
      <c r="E76" s="18">
        <v>321.21668533034716</v>
      </c>
      <c r="F76" s="18">
        <v>279.78331466965284</v>
      </c>
      <c r="G76" s="18">
        <v>7.7894736842105265</v>
      </c>
      <c r="H76" s="18">
        <v>25.448210526315791</v>
      </c>
      <c r="I76" s="18">
        <v>0</v>
      </c>
    </row>
    <row r="77" spans="1:24">
      <c r="A77" s="8">
        <v>40</v>
      </c>
      <c r="B77" s="8">
        <v>328</v>
      </c>
      <c r="C77" s="8">
        <f t="shared" si="2"/>
        <v>5</v>
      </c>
      <c r="D77" s="18">
        <v>300.5</v>
      </c>
      <c r="E77" s="18">
        <v>321.21668533034716</v>
      </c>
      <c r="F77" s="18">
        <v>279.78331466965284</v>
      </c>
      <c r="G77" s="18">
        <v>7.7894736842105265</v>
      </c>
      <c r="H77" s="18">
        <v>25.448210526315791</v>
      </c>
      <c r="I77" s="18">
        <v>0</v>
      </c>
    </row>
  </sheetData>
  <mergeCells count="2">
    <mergeCell ref="D56:F56"/>
    <mergeCell ref="G56:I5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CUSUM Chart</vt:lpstr>
      <vt:lpstr>xbar </vt:lpstr>
      <vt:lpstr>MR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d36580</dc:creator>
  <cp:lastModifiedBy>d36580</cp:lastModifiedBy>
  <dcterms:created xsi:type="dcterms:W3CDTF">2026-04-26T01:31:18Z</dcterms:created>
  <dcterms:modified xsi:type="dcterms:W3CDTF">2026-04-28T01:55:26Z</dcterms:modified>
</cp:coreProperties>
</file>
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2 Smart Manufacturing and Applied information science\2 Semester\Advance Statistical Quality Control\"/>
    </mc:Choice>
  </mc:AlternateContent>
  <xr:revisionPtr revIDLastSave="0" documentId="13_ncr:1_{A2A8B4AD-8B50-4534-87AA-F0F9DCCAC02B}" xr6:coauthVersionLast="47" xr6:coauthVersionMax="47" xr10:uidLastSave="{00000000-0000-0000-0000-000000000000}"/>
  <bookViews>
    <workbookView xWindow="28680" yWindow="-120" windowWidth="29040" windowHeight="15720" activeTab="6" xr2:uid="{E9B4DBE7-7145-4880-9E7C-D6384306006F}"/>
  </bookViews>
  <sheets>
    <sheet name="CUSUM Chart" sheetId="3" r:id="rId1"/>
    <sheet name="xbar " sheetId="1" r:id="rId2"/>
    <sheet name="MR Chart" sheetId="4" r:id="rId3"/>
    <sheet name="pchart" sheetId="8" r:id="rId4"/>
    <sheet name="np chart" sheetId="9" r:id="rId5"/>
    <sheet name="cchart" sheetId="10" r:id="rId6"/>
    <sheet name="uchart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1" l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" i="11"/>
  <c r="D27" i="1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" i="9"/>
  <c r="D30" i="9" s="1"/>
  <c r="C27" i="9"/>
  <c r="B27" i="9"/>
  <c r="C60" i="8"/>
  <c r="B60" i="8"/>
  <c r="C32" i="8"/>
  <c r="B32" i="8"/>
  <c r="G10" i="9" l="1"/>
  <c r="E9" i="9"/>
  <c r="G9" i="9" s="1"/>
  <c r="E21" i="9"/>
  <c r="G21" i="9" s="1"/>
  <c r="E10" i="9"/>
  <c r="F10" i="9" s="1"/>
  <c r="E22" i="9"/>
  <c r="F22" i="9" s="1"/>
  <c r="F12" i="9"/>
  <c r="E11" i="9"/>
  <c r="F11" i="9" s="1"/>
  <c r="E23" i="9"/>
  <c r="F23" i="9" s="1"/>
  <c r="E12" i="9"/>
  <c r="G12" i="9" s="1"/>
  <c r="E24" i="9"/>
  <c r="G24" i="9" s="1"/>
  <c r="E13" i="9"/>
  <c r="F13" i="9" s="1"/>
  <c r="E25" i="9"/>
  <c r="G25" i="9" s="1"/>
  <c r="E14" i="9"/>
  <c r="F14" i="9" s="1"/>
  <c r="E26" i="9"/>
  <c r="G26" i="9" s="1"/>
  <c r="E3" i="9"/>
  <c r="G3" i="9" s="1"/>
  <c r="E15" i="9"/>
  <c r="F15" i="9" s="1"/>
  <c r="E2" i="9"/>
  <c r="G2" i="9" s="1"/>
  <c r="E4" i="9"/>
  <c r="G4" i="9" s="1"/>
  <c r="E16" i="9"/>
  <c r="G16" i="9" s="1"/>
  <c r="D31" i="9"/>
  <c r="E5" i="9"/>
  <c r="F5" i="9" s="1"/>
  <c r="E17" i="9"/>
  <c r="F17" i="9" s="1"/>
  <c r="E6" i="9"/>
  <c r="G6" i="9" s="1"/>
  <c r="E18" i="9"/>
  <c r="G18" i="9" s="1"/>
  <c r="F20" i="9"/>
  <c r="E7" i="9"/>
  <c r="G7" i="9" s="1"/>
  <c r="E19" i="9"/>
  <c r="F19" i="9" s="1"/>
  <c r="G22" i="9"/>
  <c r="E8" i="9"/>
  <c r="F8" i="9" s="1"/>
  <c r="E20" i="9"/>
  <c r="G20" i="9" s="1"/>
  <c r="G14" i="9"/>
  <c r="D27" i="9"/>
  <c r="F4" i="9" l="1"/>
  <c r="F24" i="9"/>
  <c r="F16" i="9"/>
  <c r="F21" i="9"/>
  <c r="F18" i="9"/>
  <c r="F9" i="9"/>
  <c r="F6" i="9"/>
  <c r="F26" i="9"/>
  <c r="F7" i="9"/>
  <c r="G17" i="9"/>
  <c r="G15" i="9"/>
  <c r="G8" i="9"/>
  <c r="F2" i="9"/>
  <c r="F25" i="9"/>
  <c r="G5" i="9"/>
  <c r="G23" i="9"/>
  <c r="G11" i="9"/>
  <c r="G19" i="9"/>
  <c r="G13" i="9"/>
  <c r="F3" i="9"/>
  <c r="C77" i="4" l="1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0" i="4"/>
  <c r="B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22" i="4"/>
  <c r="B55" i="4" s="1"/>
  <c r="B22" i="4"/>
  <c r="B26" i="4" s="1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D2" i="3"/>
  <c r="D3" i="3" s="1"/>
  <c r="D4" i="3" s="1"/>
  <c r="D5" i="3" s="1"/>
  <c r="D6" i="3" s="1"/>
  <c r="D7" i="3" s="1"/>
  <c r="D8" i="3" s="1"/>
  <c r="D9" i="3" s="1"/>
  <c r="D10" i="3" s="1"/>
  <c r="D11" i="3" s="1"/>
  <c r="C2" i="3"/>
  <c r="C3" i="3" s="1"/>
  <c r="C4" i="3" s="1"/>
  <c r="C5" i="3" s="1"/>
  <c r="C6" i="3" s="1"/>
  <c r="C7" i="3" s="1"/>
  <c r="C8" i="3" s="1"/>
  <c r="C9" i="3" s="1"/>
  <c r="C10" i="3" s="1"/>
  <c r="C11" i="3" s="1"/>
  <c r="B54" i="4" l="1"/>
  <c r="B27" i="4"/>
</calcChain>
</file>

<file path=xl/sharedStrings.xml><?xml version="1.0" encoding="utf-8"?>
<sst xmlns="http://schemas.openxmlformats.org/spreadsheetml/2006/main" count="100" uniqueCount="68">
  <si>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</si>
  <si>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</si>
  <si>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</si>
  <si>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</si>
  <si>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</si>
  <si>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</si>
  <si>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</si>
  <si>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</si>
  <si>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</si>
  <si>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</si>
  <si>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</si>
  <si>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</si>
  <si>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</si>
  <si>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</si>
  <si>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</si>
  <si>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</si>
  <si>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</si>
  <si>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</si>
  <si>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</si>
  <si>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</si>
  <si>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i</t>
  </si>
  <si>
    <t>xi</t>
  </si>
  <si>
    <t>C+</t>
  </si>
  <si>
    <t>C-</t>
  </si>
  <si>
    <t>h-</t>
  </si>
  <si>
    <t>h+</t>
  </si>
  <si>
    <r>
      <t xml:space="preserve">Target Mean </t>
    </r>
    <r>
      <rPr>
        <sz val="11"/>
        <color theme="1"/>
        <rFont val="Aptos Narrow"/>
        <family val="2"/>
      </rPr>
      <t>µ</t>
    </r>
    <r>
      <rPr>
        <sz val="11"/>
        <color theme="1"/>
        <rFont val="Aptos Narrow"/>
        <family val="2"/>
        <scheme val="minor"/>
      </rPr>
      <t>o</t>
    </r>
  </si>
  <si>
    <t>standard deviation</t>
  </si>
  <si>
    <t>detecting shift</t>
  </si>
  <si>
    <t>k</t>
  </si>
  <si>
    <t>h</t>
  </si>
  <si>
    <t>CUSUM upward On 9th and 10th data higer than upper decision limit</t>
  </si>
  <si>
    <t xml:space="preserve">week </t>
  </si>
  <si>
    <t>cost x</t>
  </si>
  <si>
    <t>Range</t>
  </si>
  <si>
    <t>Xbar</t>
  </si>
  <si>
    <t>UCL</t>
  </si>
  <si>
    <t>LCL</t>
  </si>
  <si>
    <t>List of constant for n2</t>
  </si>
  <si>
    <t>d2</t>
  </si>
  <si>
    <t>D4</t>
  </si>
  <si>
    <t>D3</t>
  </si>
  <si>
    <t>xbar</t>
  </si>
  <si>
    <t>MR bar</t>
  </si>
  <si>
    <t>Xbar MR chart</t>
  </si>
  <si>
    <t>Rbar</t>
  </si>
  <si>
    <t>MR chart</t>
  </si>
  <si>
    <t>XMR Chart</t>
  </si>
  <si>
    <t>MR CHART</t>
  </si>
  <si>
    <t>Week</t>
  </si>
  <si>
    <t>range</t>
  </si>
  <si>
    <t>On  X sample 39-40 have data higher than UCL</t>
  </si>
  <si>
    <t>On the MR 39th have data higher than UCL</t>
  </si>
  <si>
    <t>Sample Number</t>
  </si>
  <si>
    <t>Number of Nonconforming Cans (Di​)</t>
  </si>
  <si>
    <t>Sample Fraction Nonconforming (p^​i​)</t>
  </si>
  <si>
    <t>Total</t>
  </si>
  <si>
    <t>Sample Fraction Nonconforming (pi​)</t>
  </si>
  <si>
    <t>Sample Number (i)</t>
  </si>
  <si>
    <t>Sample Size (ni​)</t>
  </si>
  <si>
    <t>Number of Nonconforming Units (Di​)</t>
  </si>
  <si>
    <t>Fraction Nonconforming (pi​)</t>
  </si>
  <si>
    <t>pbar</t>
  </si>
  <si>
    <t>Number of Nonconformities</t>
  </si>
  <si>
    <t>Unit Inspeksi (ni​)</t>
  </si>
  <si>
    <t>Jumlah Cacat (ci​)</t>
  </si>
  <si>
    <t>Rata-rata Cacat per Unit (ui​=ci​/ni​)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</si>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</sst>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.0"/>
    <numFmt numFmtId="170" formatCode="0.000"/>
  </numFmts>
  <fonts count="6">
    <font>
      <sz val="11"/>
      <color theme="1"/>
      <name val="Aptos Narrow"/>
      <family val="2"/>
      <scheme val="minor"/>
    </font>
    <font>
      <sz val="12"/>
      <color theme="1"/>
      <name val="Microsoft JhengHei"/>
      <family val="2"/>
      <charset val="136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/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 readingOrder="1"/>
    </xf>
    <xf numFmtId="0" fontId="5" fillId="0" borderId="6" xfId="0" applyFont="1" applyBorder="1" applyAlignment="1">
      <alignment vertical="center" wrapText="1" readingOrder="1"/>
    </xf>
    <xf numFmtId="0" fontId="4" fillId="0" borderId="6" xfId="0" applyFont="1" applyBorder="1" applyAlignment="1">
      <alignment horizontal="left" vertical="center" wrapText="1" indent="1" readingOrder="1"/>
    </xf>
    <xf numFmtId="0" fontId="4" fillId="0" borderId="6" xfId="0" applyFont="1" applyBorder="1" applyAlignment="1">
      <alignment vertical="center" wrapText="1" readingOrder="1"/>
    </xf>
    <xf numFmtId="2" fontId="4" fillId="0" borderId="6" xfId="0" applyNumberFormat="1" applyFont="1" applyBorder="1" applyAlignment="1">
      <alignment vertical="center" wrapText="1" readingOrder="1"/>
    </xf>
    <xf numFmtId="2" fontId="5" fillId="0" borderId="6" xfId="0" applyNumberFormat="1" applyFont="1" applyBorder="1" applyAlignment="1">
      <alignment vertical="center" wrapText="1" readingOrder="1"/>
    </xf>
    <xf numFmtId="170" fontId="0" fillId="0" borderId="0" xfId="0" applyNumberFormat="1"/>
    <xf numFmtId="0" fontId="5" fillId="0" borderId="7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CUSUM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CUSUM + (Upward)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'CUSUM Chart'!$C$2:$C$11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0.10000000000000142</c:v>
                </c:pt>
                <c:pt idx="3">
                  <c:v>0.60000000000000142</c:v>
                </c:pt>
                <c:pt idx="4">
                  <c:v>1.3000000000000043</c:v>
                </c:pt>
                <c:pt idx="5">
                  <c:v>2.3000000000000043</c:v>
                </c:pt>
                <c:pt idx="6">
                  <c:v>3.2000000000000028</c:v>
                </c:pt>
                <c:pt idx="7">
                  <c:v>4</c:v>
                </c:pt>
                <c:pt idx="8">
                  <c:v>5.1000000000000014</c:v>
                </c:pt>
                <c:pt idx="9">
                  <c:v>6.3999999999999986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D-4161-8D77-283B88D85DCC}"/>
            </c:ext>
          </c:extLst>
        </c:ser>
        <c:ser>
          <c:idx val="1"/>
          <c:order val="1"/>
          <c:tx>
            <c:v>CUSUM- (downward)</c:v>
          </c:tx>
          <c:spPr>
            <a:ln w="254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'CUSUM Chart'!$D$2:$D$11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6D-4161-8D77-283B88D85DCC}"/>
            </c:ext>
          </c:extLst>
        </c:ser>
        <c:ser>
          <c:idx val="2"/>
          <c:order val="2"/>
          <c:tx>
            <c:v>Upper Decision Limit (h+)</c:v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'CUSUM Chart'!$E$2:$E$11</c:f>
              <c:numCache>
                <c:formatCode>General</c:formatCode>
                <c:ptCount val="10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  <c:pt idx="8">
                  <c:v>-5</c:v>
                </c:pt>
                <c:pt idx="9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6D-4161-8D77-283B88D85DCC}"/>
            </c:ext>
          </c:extLst>
        </c:ser>
        <c:ser>
          <c:idx val="3"/>
          <c:order val="3"/>
          <c:tx>
            <c:v>Lower Decision Limit (h-)</c:v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'CUSUM Chart'!$F$2:$F$11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6D-4161-8D77-283B88D85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890591"/>
        <c:axId val="1116891071"/>
      </c:lineChart>
      <c:catAx>
        <c:axId val="111689059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91071"/>
        <c:crosses val="autoZero"/>
        <c:auto val="1"/>
        <c:lblAlgn val="ctr"/>
        <c:lblOffset val="100"/>
        <c:noMultiLvlLbl val="0"/>
      </c:catAx>
      <c:valAx>
        <c:axId val="111689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90591"/>
        <c:crosses val="autoZero"/>
        <c:crossBetween val="between"/>
      </c:valAx>
      <c:spPr>
        <a:noFill/>
        <a:ln>
          <a:solidFill>
            <a:schemeClr val="accent4"/>
          </a:solidFill>
          <a:prstDash val="sysDot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XBar</a:t>
            </a:r>
            <a:r>
              <a:rPr lang="en-US" baseline="0"/>
              <a:t> MR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observed data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'MR Chart'!$B$2:$B$21</c:f>
              <c:numCache>
                <c:formatCode>General</c:formatCode>
                <c:ptCount val="20"/>
                <c:pt idx="0">
                  <c:v>310</c:v>
                </c:pt>
                <c:pt idx="1">
                  <c:v>288</c:v>
                </c:pt>
                <c:pt idx="2">
                  <c:v>297</c:v>
                </c:pt>
                <c:pt idx="3">
                  <c:v>298</c:v>
                </c:pt>
                <c:pt idx="4">
                  <c:v>307</c:v>
                </c:pt>
                <c:pt idx="5">
                  <c:v>303</c:v>
                </c:pt>
                <c:pt idx="6">
                  <c:v>294</c:v>
                </c:pt>
                <c:pt idx="7">
                  <c:v>297</c:v>
                </c:pt>
                <c:pt idx="8">
                  <c:v>308</c:v>
                </c:pt>
                <c:pt idx="9">
                  <c:v>306</c:v>
                </c:pt>
                <c:pt idx="10">
                  <c:v>294</c:v>
                </c:pt>
                <c:pt idx="11">
                  <c:v>299</c:v>
                </c:pt>
                <c:pt idx="12">
                  <c:v>297</c:v>
                </c:pt>
                <c:pt idx="13">
                  <c:v>299</c:v>
                </c:pt>
                <c:pt idx="14">
                  <c:v>314</c:v>
                </c:pt>
                <c:pt idx="15">
                  <c:v>295</c:v>
                </c:pt>
                <c:pt idx="16">
                  <c:v>293</c:v>
                </c:pt>
                <c:pt idx="17">
                  <c:v>306</c:v>
                </c:pt>
                <c:pt idx="18">
                  <c:v>301</c:v>
                </c:pt>
                <c:pt idx="19">
                  <c:v>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3-4DE0-ACD8-62C2F3B1C400}"/>
            </c:ext>
          </c:extLst>
        </c:ser>
        <c:ser>
          <c:idx val="1"/>
          <c:order val="1"/>
          <c:tx>
            <c:v>Xbar</c:v>
          </c:tx>
          <c:spPr>
            <a:ln w="952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'MR Chart'!$D$2:$D$21</c:f>
              <c:numCache>
                <c:formatCode>0.00</c:formatCode>
                <c:ptCount val="20"/>
                <c:pt idx="0">
                  <c:v>300.5</c:v>
                </c:pt>
                <c:pt idx="1">
                  <c:v>300.5</c:v>
                </c:pt>
                <c:pt idx="2">
                  <c:v>300.5</c:v>
                </c:pt>
                <c:pt idx="3">
                  <c:v>300.5</c:v>
                </c:pt>
                <c:pt idx="4">
                  <c:v>300.5</c:v>
                </c:pt>
                <c:pt idx="5">
                  <c:v>300.5</c:v>
                </c:pt>
                <c:pt idx="6">
                  <c:v>300.5</c:v>
                </c:pt>
                <c:pt idx="7">
                  <c:v>300.5</c:v>
                </c:pt>
                <c:pt idx="8">
                  <c:v>300.5</c:v>
                </c:pt>
                <c:pt idx="9">
                  <c:v>300.5</c:v>
                </c:pt>
                <c:pt idx="10">
                  <c:v>300.5</c:v>
                </c:pt>
                <c:pt idx="11">
                  <c:v>300.5</c:v>
                </c:pt>
                <c:pt idx="12">
                  <c:v>300.5</c:v>
                </c:pt>
                <c:pt idx="13">
                  <c:v>300.5</c:v>
                </c:pt>
                <c:pt idx="14">
                  <c:v>300.5</c:v>
                </c:pt>
                <c:pt idx="15">
                  <c:v>300.5</c:v>
                </c:pt>
                <c:pt idx="16">
                  <c:v>300.5</c:v>
                </c:pt>
                <c:pt idx="17">
                  <c:v>300.5</c:v>
                </c:pt>
                <c:pt idx="18">
                  <c:v>300.5</c:v>
                </c:pt>
                <c:pt idx="19">
                  <c:v>300.5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3-4DE0-ACD8-62C2F3B1C400}"/>
            </c:ext>
          </c:extLst>
        </c:ser>
        <c:ser>
          <c:idx val="2"/>
          <c:order val="2"/>
          <c:tx>
            <c:v>UCL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'MR Chart'!$E$2:$E$21</c:f>
              <c:numCache>
                <c:formatCode>0.00</c:formatCode>
                <c:ptCount val="20"/>
                <c:pt idx="0">
                  <c:v>321.21668533034716</c:v>
                </c:pt>
                <c:pt idx="1">
                  <c:v>321.21668533034716</c:v>
                </c:pt>
                <c:pt idx="2">
                  <c:v>321.21668533034716</c:v>
                </c:pt>
                <c:pt idx="3">
                  <c:v>321.21668533034716</c:v>
                </c:pt>
                <c:pt idx="4">
                  <c:v>321.21668533034716</c:v>
                </c:pt>
                <c:pt idx="5">
                  <c:v>321.21668533034716</c:v>
                </c:pt>
                <c:pt idx="6">
                  <c:v>321.21668533034716</c:v>
                </c:pt>
                <c:pt idx="7">
                  <c:v>321.21668533034716</c:v>
                </c:pt>
                <c:pt idx="8">
                  <c:v>321.21668533034716</c:v>
                </c:pt>
                <c:pt idx="9">
                  <c:v>321.21668533034716</c:v>
                </c:pt>
                <c:pt idx="10">
                  <c:v>321.21668533034716</c:v>
                </c:pt>
                <c:pt idx="11">
                  <c:v>321.21668533034716</c:v>
                </c:pt>
                <c:pt idx="12">
                  <c:v>321.21668533034716</c:v>
                </c:pt>
                <c:pt idx="13">
                  <c:v>321.21668533034716</c:v>
                </c:pt>
                <c:pt idx="14">
                  <c:v>321.21668533034716</c:v>
                </c:pt>
                <c:pt idx="15">
                  <c:v>321.21668533034716</c:v>
                </c:pt>
                <c:pt idx="16">
                  <c:v>321.21668533034716</c:v>
                </c:pt>
                <c:pt idx="17">
                  <c:v>321.21668533034716</c:v>
                </c:pt>
                <c:pt idx="18">
                  <c:v>321.21668533034716</c:v>
                </c:pt>
                <c:pt idx="19">
                  <c:v>321.21668533034716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3-4DE0-ACD8-62C2F3B1C400}"/>
            </c:ext>
          </c:extLst>
        </c:ser>
        <c:ser>
          <c:idx val="3"/>
          <c:order val="3"/>
          <c:tx>
            <c:v>LCL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'MR Chart'!$F$2:$F$21</c:f>
              <c:numCache>
                <c:formatCode>0.00</c:formatCode>
                <c:ptCount val="20"/>
                <c:pt idx="0">
                  <c:v>279.78331466965284</c:v>
                </c:pt>
                <c:pt idx="1">
                  <c:v>279.78331466965284</c:v>
                </c:pt>
                <c:pt idx="2">
                  <c:v>279.78331466965284</c:v>
                </c:pt>
                <c:pt idx="3">
                  <c:v>279.78331466965284</c:v>
                </c:pt>
                <c:pt idx="4">
                  <c:v>279.78331466965284</c:v>
                </c:pt>
                <c:pt idx="5">
                  <c:v>279.78331466965284</c:v>
                </c:pt>
                <c:pt idx="6">
                  <c:v>279.78331466965284</c:v>
                </c:pt>
                <c:pt idx="7">
                  <c:v>279.78331466965284</c:v>
                </c:pt>
                <c:pt idx="8">
                  <c:v>279.78331466965284</c:v>
                </c:pt>
                <c:pt idx="9">
                  <c:v>279.78331466965284</c:v>
                </c:pt>
                <c:pt idx="10">
                  <c:v>279.78331466965284</c:v>
                </c:pt>
                <c:pt idx="11">
                  <c:v>279.78331466965284</c:v>
                </c:pt>
                <c:pt idx="12">
                  <c:v>279.78331466965284</c:v>
                </c:pt>
                <c:pt idx="13">
                  <c:v>279.78331466965284</c:v>
                </c:pt>
                <c:pt idx="14">
                  <c:v>279.78331466965284</c:v>
                </c:pt>
                <c:pt idx="15">
                  <c:v>279.78331466965284</c:v>
                </c:pt>
                <c:pt idx="16">
                  <c:v>279.78331466965284</c:v>
                </c:pt>
                <c:pt idx="17">
                  <c:v>279.78331466965284</c:v>
                </c:pt>
                <c:pt idx="18">
                  <c:v>279.78331466965284</c:v>
                </c:pt>
                <c:pt idx="19">
                  <c:v>279.78331466965284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53-4DE0-ACD8-62C2F3B1C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635567"/>
        <c:axId val="1114683759"/>
      </c:lineChart>
      <c:catAx>
        <c:axId val="1895635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83759"/>
        <c:crosses val="autoZero"/>
        <c:auto val="1"/>
        <c:lblAlgn val="ctr"/>
        <c:lblOffset val="100"/>
        <c:noMultiLvlLbl val="0"/>
      </c:catAx>
      <c:valAx>
        <c:axId val="1114683759"/>
        <c:scaling>
          <c:orientation val="minMax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6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367405629361675E-2"/>
          <c:y val="0.16421465063573157"/>
          <c:w val="0.78336916725785222"/>
          <c:h val="0.66063101475846842"/>
        </c:manualLayout>
      </c:layout>
      <c:lineChart>
        <c:grouping val="standard"/>
        <c:varyColors val="0"/>
        <c:ser>
          <c:idx val="0"/>
          <c:order val="0"/>
          <c:tx>
            <c:v>Observed data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'MR Chart'!$C$30:$C$49</c:f>
              <c:numCache>
                <c:formatCode>General</c:formatCode>
                <c:ptCount val="20"/>
                <c:pt idx="1">
                  <c:v>22</c:v>
                </c:pt>
                <c:pt idx="2">
                  <c:v>9</c:v>
                </c:pt>
                <c:pt idx="3">
                  <c:v>1</c:v>
                </c:pt>
                <c:pt idx="4">
                  <c:v>9</c:v>
                </c:pt>
                <c:pt idx="5">
                  <c:v>4</c:v>
                </c:pt>
                <c:pt idx="6">
                  <c:v>9</c:v>
                </c:pt>
                <c:pt idx="7">
                  <c:v>3</c:v>
                </c:pt>
                <c:pt idx="8">
                  <c:v>11</c:v>
                </c:pt>
                <c:pt idx="9">
                  <c:v>2</c:v>
                </c:pt>
                <c:pt idx="10">
                  <c:v>12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15</c:v>
                </c:pt>
                <c:pt idx="15">
                  <c:v>19</c:v>
                </c:pt>
                <c:pt idx="16">
                  <c:v>2</c:v>
                </c:pt>
                <c:pt idx="17">
                  <c:v>13</c:v>
                </c:pt>
                <c:pt idx="18">
                  <c:v>5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D-49E2-98E5-7F5EB79640E8}"/>
            </c:ext>
          </c:extLst>
        </c:ser>
        <c:ser>
          <c:idx val="1"/>
          <c:order val="1"/>
          <c:tx>
            <c:v>RBar</c:v>
          </c:tx>
          <c:spPr>
            <a:ln w="127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'MR Chart'!$D$30:$D$49</c:f>
              <c:numCache>
                <c:formatCode>0.00</c:formatCode>
                <c:ptCount val="20"/>
                <c:pt idx="0">
                  <c:v>7.7894736842105265</c:v>
                </c:pt>
                <c:pt idx="1">
                  <c:v>7.7894736842105265</c:v>
                </c:pt>
                <c:pt idx="2">
                  <c:v>7.7894736842105265</c:v>
                </c:pt>
                <c:pt idx="3">
                  <c:v>7.7894736842105265</c:v>
                </c:pt>
                <c:pt idx="4">
                  <c:v>7.7894736842105265</c:v>
                </c:pt>
                <c:pt idx="5">
                  <c:v>7.7894736842105265</c:v>
                </c:pt>
                <c:pt idx="6">
                  <c:v>7.7894736842105265</c:v>
                </c:pt>
                <c:pt idx="7">
                  <c:v>7.7894736842105265</c:v>
                </c:pt>
                <c:pt idx="8">
                  <c:v>7.7894736842105265</c:v>
                </c:pt>
                <c:pt idx="9">
                  <c:v>7.7894736842105265</c:v>
                </c:pt>
                <c:pt idx="10">
                  <c:v>7.7894736842105265</c:v>
                </c:pt>
                <c:pt idx="11">
                  <c:v>7.7894736842105265</c:v>
                </c:pt>
                <c:pt idx="12">
                  <c:v>7.7894736842105265</c:v>
                </c:pt>
                <c:pt idx="13">
                  <c:v>7.7894736842105265</c:v>
                </c:pt>
                <c:pt idx="14">
                  <c:v>7.7894736842105265</c:v>
                </c:pt>
                <c:pt idx="15">
                  <c:v>7.7894736842105265</c:v>
                </c:pt>
                <c:pt idx="16">
                  <c:v>7.7894736842105265</c:v>
                </c:pt>
                <c:pt idx="17">
                  <c:v>7.7894736842105265</c:v>
                </c:pt>
                <c:pt idx="18">
                  <c:v>7.7894736842105265</c:v>
                </c:pt>
                <c:pt idx="19">
                  <c:v>7.7894736842105265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1D-49E2-98E5-7F5EB79640E8}"/>
            </c:ext>
          </c:extLst>
        </c:ser>
        <c:ser>
          <c:idx val="2"/>
          <c:order val="2"/>
          <c:tx>
            <c:v>UCL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'MR Chart'!$E$30:$E$49</c:f>
              <c:numCache>
                <c:formatCode>0.00</c:formatCode>
                <c:ptCount val="20"/>
                <c:pt idx="0">
                  <c:v>25.448210526315791</c:v>
                </c:pt>
                <c:pt idx="1">
                  <c:v>25.448210526315791</c:v>
                </c:pt>
                <c:pt idx="2">
                  <c:v>25.448210526315791</c:v>
                </c:pt>
                <c:pt idx="3">
                  <c:v>25.448210526315791</c:v>
                </c:pt>
                <c:pt idx="4">
                  <c:v>25.448210526315791</c:v>
                </c:pt>
                <c:pt idx="5">
                  <c:v>25.448210526315791</c:v>
                </c:pt>
                <c:pt idx="6">
                  <c:v>25.448210526315791</c:v>
                </c:pt>
                <c:pt idx="7">
                  <c:v>25.448210526315791</c:v>
                </c:pt>
                <c:pt idx="8">
                  <c:v>25.448210526315791</c:v>
                </c:pt>
                <c:pt idx="9">
                  <c:v>25.448210526315791</c:v>
                </c:pt>
                <c:pt idx="10">
                  <c:v>25.448210526315791</c:v>
                </c:pt>
                <c:pt idx="11">
                  <c:v>25.448210526315791</c:v>
                </c:pt>
                <c:pt idx="12">
                  <c:v>25.448210526315791</c:v>
                </c:pt>
                <c:pt idx="13">
                  <c:v>25.448210526315791</c:v>
                </c:pt>
                <c:pt idx="14">
                  <c:v>25.448210526315791</c:v>
                </c:pt>
                <c:pt idx="15">
                  <c:v>25.448210526315791</c:v>
                </c:pt>
                <c:pt idx="16">
                  <c:v>25.448210526315791</c:v>
                </c:pt>
                <c:pt idx="17">
                  <c:v>25.448210526315791</c:v>
                </c:pt>
                <c:pt idx="18">
                  <c:v>25.448210526315791</c:v>
                </c:pt>
                <c:pt idx="19">
                  <c:v>25.448210526315791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D-49E2-98E5-7F5EB79640E8}"/>
            </c:ext>
          </c:extLst>
        </c:ser>
        <c:ser>
          <c:idx val="3"/>
          <c:order val="3"/>
          <c:tx>
            <c:v>LCL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'MR Chart'!$F$30:$F$49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1D-49E2-98E5-7F5EB7964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324080"/>
        <c:axId val="1021324560"/>
      </c:lineChart>
      <c:catAx>
        <c:axId val="1021324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24560"/>
        <c:crosses val="autoZero"/>
        <c:auto val="1"/>
        <c:lblAlgn val="ctr"/>
        <c:lblOffset val="100"/>
        <c:noMultiLvlLbl val="0"/>
      </c:catAx>
      <c:valAx>
        <c:axId val="10213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2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8572657665694936"/>
          <c:y val="0.39142107574481871"/>
          <c:w val="0.11480993728211197"/>
          <c:h val="0.29666296727334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XBar</a:t>
            </a:r>
            <a:r>
              <a:rPr lang="en-US" baseline="0"/>
              <a:t> chart 21-40 weeks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Observed data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'MR Chart'!$A$58:$A$77</c:f>
              <c:numCache>
                <c:formatCode>General</c:formatCode>
                <c:ptCount val="2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</c:numCache>
            </c:numRef>
          </c:cat>
          <c:val>
            <c:numRef>
              <c:f>'MR Chart'!$B$58:$B$77</c:f>
              <c:numCache>
                <c:formatCode>General</c:formatCode>
                <c:ptCount val="20"/>
                <c:pt idx="0">
                  <c:v>305</c:v>
                </c:pt>
                <c:pt idx="1">
                  <c:v>282</c:v>
                </c:pt>
                <c:pt idx="2">
                  <c:v>305</c:v>
                </c:pt>
                <c:pt idx="3">
                  <c:v>296</c:v>
                </c:pt>
                <c:pt idx="4">
                  <c:v>314</c:v>
                </c:pt>
                <c:pt idx="5">
                  <c:v>295</c:v>
                </c:pt>
                <c:pt idx="6">
                  <c:v>287</c:v>
                </c:pt>
                <c:pt idx="7">
                  <c:v>301</c:v>
                </c:pt>
                <c:pt idx="8">
                  <c:v>298</c:v>
                </c:pt>
                <c:pt idx="9">
                  <c:v>311</c:v>
                </c:pt>
                <c:pt idx="10">
                  <c:v>310</c:v>
                </c:pt>
                <c:pt idx="11">
                  <c:v>292</c:v>
                </c:pt>
                <c:pt idx="12">
                  <c:v>305</c:v>
                </c:pt>
                <c:pt idx="13">
                  <c:v>299</c:v>
                </c:pt>
                <c:pt idx="14">
                  <c:v>304</c:v>
                </c:pt>
                <c:pt idx="15">
                  <c:v>310</c:v>
                </c:pt>
                <c:pt idx="16">
                  <c:v>304</c:v>
                </c:pt>
                <c:pt idx="17">
                  <c:v>305</c:v>
                </c:pt>
                <c:pt idx="18">
                  <c:v>333</c:v>
                </c:pt>
                <c:pt idx="19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D-4E1A-9622-8BA1CB57B3E0}"/>
            </c:ext>
          </c:extLst>
        </c:ser>
        <c:ser>
          <c:idx val="1"/>
          <c:order val="1"/>
          <c:tx>
            <c:v>Xbar</c:v>
          </c:tx>
          <c:spPr>
            <a:ln w="127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'MR Chart'!$A$58:$A$77</c:f>
              <c:numCache>
                <c:formatCode>General</c:formatCode>
                <c:ptCount val="2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</c:numCache>
            </c:numRef>
          </c:cat>
          <c:val>
            <c:numRef>
              <c:f>'MR Chart'!$D$58:$D$77</c:f>
              <c:numCache>
                <c:formatCode>0.00</c:formatCode>
                <c:ptCount val="20"/>
                <c:pt idx="0">
                  <c:v>300.5</c:v>
                </c:pt>
                <c:pt idx="1">
                  <c:v>300.5</c:v>
                </c:pt>
                <c:pt idx="2">
                  <c:v>300.5</c:v>
                </c:pt>
                <c:pt idx="3">
                  <c:v>300.5</c:v>
                </c:pt>
                <c:pt idx="4">
                  <c:v>300.5</c:v>
                </c:pt>
                <c:pt idx="5">
                  <c:v>300.5</c:v>
                </c:pt>
                <c:pt idx="6">
                  <c:v>300.5</c:v>
                </c:pt>
                <c:pt idx="7">
                  <c:v>300.5</c:v>
                </c:pt>
                <c:pt idx="8">
                  <c:v>300.5</c:v>
                </c:pt>
                <c:pt idx="9">
                  <c:v>300.5</c:v>
                </c:pt>
                <c:pt idx="10">
                  <c:v>300.5</c:v>
                </c:pt>
                <c:pt idx="11">
                  <c:v>300.5</c:v>
                </c:pt>
                <c:pt idx="12">
                  <c:v>300.5</c:v>
                </c:pt>
                <c:pt idx="13">
                  <c:v>300.5</c:v>
                </c:pt>
                <c:pt idx="14">
                  <c:v>300.5</c:v>
                </c:pt>
                <c:pt idx="15">
                  <c:v>300.5</c:v>
                </c:pt>
                <c:pt idx="16">
                  <c:v>300.5</c:v>
                </c:pt>
                <c:pt idx="17">
                  <c:v>300.5</c:v>
                </c:pt>
                <c:pt idx="18">
                  <c:v>300.5</c:v>
                </c:pt>
                <c:pt idx="19">
                  <c:v>300.5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D-4E1A-9622-8BA1CB57B3E0}"/>
            </c:ext>
          </c:extLst>
        </c:ser>
        <c:ser>
          <c:idx val="2"/>
          <c:order val="2"/>
          <c:tx>
            <c:v>UCL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'MR Chart'!$A$58:$A$77</c:f>
              <c:numCache>
                <c:formatCode>General</c:formatCode>
                <c:ptCount val="2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</c:numCache>
            </c:numRef>
          </c:cat>
          <c:val>
            <c:numRef>
              <c:f>'MR Chart'!$E$58:$E$77</c:f>
              <c:numCache>
                <c:formatCode>0.00</c:formatCode>
                <c:ptCount val="20"/>
                <c:pt idx="0">
                  <c:v>321.21668533034716</c:v>
                </c:pt>
                <c:pt idx="1">
                  <c:v>321.21668533034716</c:v>
                </c:pt>
                <c:pt idx="2">
                  <c:v>321.21668533034716</c:v>
                </c:pt>
                <c:pt idx="3">
                  <c:v>321.21668533034716</c:v>
                </c:pt>
                <c:pt idx="4">
                  <c:v>321.21668533034716</c:v>
                </c:pt>
                <c:pt idx="5">
                  <c:v>321.21668533034716</c:v>
                </c:pt>
                <c:pt idx="6">
                  <c:v>321.21668533034716</c:v>
                </c:pt>
                <c:pt idx="7">
                  <c:v>321.21668533034716</c:v>
                </c:pt>
                <c:pt idx="8">
                  <c:v>321.21668533034716</c:v>
                </c:pt>
                <c:pt idx="9">
                  <c:v>321.21668533034716</c:v>
                </c:pt>
                <c:pt idx="10">
                  <c:v>321.21668533034716</c:v>
                </c:pt>
                <c:pt idx="11">
                  <c:v>321.21668533034716</c:v>
                </c:pt>
                <c:pt idx="12">
                  <c:v>321.21668533034716</c:v>
                </c:pt>
                <c:pt idx="13">
                  <c:v>321.21668533034716</c:v>
                </c:pt>
                <c:pt idx="14">
                  <c:v>321.21668533034716</c:v>
                </c:pt>
                <c:pt idx="15">
                  <c:v>321.21668533034716</c:v>
                </c:pt>
                <c:pt idx="16">
                  <c:v>321.21668533034716</c:v>
                </c:pt>
                <c:pt idx="17">
                  <c:v>321.21668533034716</c:v>
                </c:pt>
                <c:pt idx="18">
                  <c:v>321.21668533034716</c:v>
                </c:pt>
                <c:pt idx="19">
                  <c:v>321.21668533034716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D-4E1A-9622-8BA1CB57B3E0}"/>
            </c:ext>
          </c:extLst>
        </c:ser>
        <c:ser>
          <c:idx val="3"/>
          <c:order val="3"/>
          <c:tx>
            <c:v>LCL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'MR Chart'!$A$58:$A$77</c:f>
              <c:numCache>
                <c:formatCode>General</c:formatCode>
                <c:ptCount val="2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</c:numCache>
            </c:numRef>
          </c:cat>
          <c:val>
            <c:numRef>
              <c:f>'MR Chart'!$F$58:$F$77</c:f>
              <c:numCache>
                <c:formatCode>0.00</c:formatCode>
                <c:ptCount val="20"/>
                <c:pt idx="0">
                  <c:v>279.78331466965284</c:v>
                </c:pt>
                <c:pt idx="1">
                  <c:v>279.78331466965284</c:v>
                </c:pt>
                <c:pt idx="2">
                  <c:v>279.78331466965284</c:v>
                </c:pt>
                <c:pt idx="3">
                  <c:v>279.78331466965284</c:v>
                </c:pt>
                <c:pt idx="4">
                  <c:v>279.78331466965284</c:v>
                </c:pt>
                <c:pt idx="5">
                  <c:v>279.78331466965284</c:v>
                </c:pt>
                <c:pt idx="6">
                  <c:v>279.78331466965284</c:v>
                </c:pt>
                <c:pt idx="7">
                  <c:v>279.78331466965284</c:v>
                </c:pt>
                <c:pt idx="8">
                  <c:v>279.78331466965284</c:v>
                </c:pt>
                <c:pt idx="9">
                  <c:v>279.78331466965284</c:v>
                </c:pt>
                <c:pt idx="10">
                  <c:v>279.78331466965284</c:v>
                </c:pt>
                <c:pt idx="11">
                  <c:v>279.78331466965284</c:v>
                </c:pt>
                <c:pt idx="12">
                  <c:v>279.78331466965284</c:v>
                </c:pt>
                <c:pt idx="13">
                  <c:v>279.78331466965284</c:v>
                </c:pt>
                <c:pt idx="14">
                  <c:v>279.78331466965284</c:v>
                </c:pt>
                <c:pt idx="15">
                  <c:v>279.78331466965284</c:v>
                </c:pt>
                <c:pt idx="16">
                  <c:v>279.78331466965284</c:v>
                </c:pt>
                <c:pt idx="17">
                  <c:v>279.78331466965284</c:v>
                </c:pt>
                <c:pt idx="18">
                  <c:v>279.78331466965284</c:v>
                </c:pt>
                <c:pt idx="19">
                  <c:v>279.78331466965284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D-4E1A-9622-8BA1CB57B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262831"/>
        <c:axId val="1259275791"/>
      </c:lineChart>
      <c:catAx>
        <c:axId val="125926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275791"/>
        <c:crosses val="autoZero"/>
        <c:auto val="1"/>
        <c:lblAlgn val="ctr"/>
        <c:lblOffset val="100"/>
        <c:noMultiLvlLbl val="0"/>
      </c:catAx>
      <c:valAx>
        <c:axId val="1259275791"/>
        <c:scaling>
          <c:orientation val="minMax"/>
          <c:max val="340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26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</a:t>
            </a:r>
            <a:r>
              <a:rPr lang="en-US" baseline="0"/>
              <a:t> chart 21-40 weeks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Observed Data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'MR Chart'!$A$58:$A$77</c:f>
              <c:numCache>
                <c:formatCode>General</c:formatCode>
                <c:ptCount val="2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</c:numCache>
            </c:numRef>
          </c:cat>
          <c:val>
            <c:numRef>
              <c:f>'MR Chart'!$C$58:$C$77</c:f>
              <c:numCache>
                <c:formatCode>General</c:formatCode>
                <c:ptCount val="20"/>
                <c:pt idx="1">
                  <c:v>23</c:v>
                </c:pt>
                <c:pt idx="2">
                  <c:v>23</c:v>
                </c:pt>
                <c:pt idx="3">
                  <c:v>9</c:v>
                </c:pt>
                <c:pt idx="4">
                  <c:v>18</c:v>
                </c:pt>
                <c:pt idx="5">
                  <c:v>19</c:v>
                </c:pt>
                <c:pt idx="6">
                  <c:v>8</c:v>
                </c:pt>
                <c:pt idx="7">
                  <c:v>14</c:v>
                </c:pt>
                <c:pt idx="8">
                  <c:v>3</c:v>
                </c:pt>
                <c:pt idx="9">
                  <c:v>13</c:v>
                </c:pt>
                <c:pt idx="10">
                  <c:v>1</c:v>
                </c:pt>
                <c:pt idx="11">
                  <c:v>18</c:v>
                </c:pt>
                <c:pt idx="12">
                  <c:v>13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1</c:v>
                </c:pt>
                <c:pt idx="18">
                  <c:v>28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C-4206-B92F-0FAC7A0AFDBA}"/>
            </c:ext>
          </c:extLst>
        </c:ser>
        <c:ser>
          <c:idx val="1"/>
          <c:order val="1"/>
          <c:tx>
            <c:v>Rbar</c:v>
          </c:tx>
          <c:spPr>
            <a:ln w="127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'MR Chart'!$A$58:$A$77</c:f>
              <c:numCache>
                <c:formatCode>General</c:formatCode>
                <c:ptCount val="2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</c:numCache>
            </c:numRef>
          </c:cat>
          <c:val>
            <c:numRef>
              <c:f>'MR Chart'!$G$58:$G$77</c:f>
              <c:numCache>
                <c:formatCode>0.00</c:formatCode>
                <c:ptCount val="20"/>
                <c:pt idx="0">
                  <c:v>7.7894736842105265</c:v>
                </c:pt>
                <c:pt idx="1">
                  <c:v>7.7894736842105265</c:v>
                </c:pt>
                <c:pt idx="2">
                  <c:v>7.7894736842105265</c:v>
                </c:pt>
                <c:pt idx="3">
                  <c:v>7.7894736842105265</c:v>
                </c:pt>
                <c:pt idx="4">
                  <c:v>7.7894736842105265</c:v>
                </c:pt>
                <c:pt idx="5">
                  <c:v>7.7894736842105265</c:v>
                </c:pt>
                <c:pt idx="6">
                  <c:v>7.7894736842105265</c:v>
                </c:pt>
                <c:pt idx="7">
                  <c:v>7.7894736842105265</c:v>
                </c:pt>
                <c:pt idx="8">
                  <c:v>7.7894736842105265</c:v>
                </c:pt>
                <c:pt idx="9">
                  <c:v>7.7894736842105265</c:v>
                </c:pt>
                <c:pt idx="10">
                  <c:v>7.7894736842105265</c:v>
                </c:pt>
                <c:pt idx="11">
                  <c:v>7.7894736842105265</c:v>
                </c:pt>
                <c:pt idx="12">
                  <c:v>7.7894736842105265</c:v>
                </c:pt>
                <c:pt idx="13">
                  <c:v>7.7894736842105265</c:v>
                </c:pt>
                <c:pt idx="14">
                  <c:v>7.7894736842105265</c:v>
                </c:pt>
                <c:pt idx="15">
                  <c:v>7.7894736842105265</c:v>
                </c:pt>
                <c:pt idx="16">
                  <c:v>7.7894736842105265</c:v>
                </c:pt>
                <c:pt idx="17">
                  <c:v>7.7894736842105265</c:v>
                </c:pt>
                <c:pt idx="18">
                  <c:v>7.7894736842105265</c:v>
                </c:pt>
                <c:pt idx="19">
                  <c:v>7.7894736842105265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C-4206-B92F-0FAC7A0AFDBA}"/>
            </c:ext>
          </c:extLst>
        </c:ser>
        <c:ser>
          <c:idx val="2"/>
          <c:order val="2"/>
          <c:tx>
            <c:v>UCL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'MR Chart'!$A$58:$A$77</c:f>
              <c:numCache>
                <c:formatCode>General</c:formatCode>
                <c:ptCount val="2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</c:numCache>
            </c:numRef>
          </c:cat>
          <c:val>
            <c:numRef>
              <c:f>'MR Chart'!$H$58:$H$77</c:f>
              <c:numCache>
                <c:formatCode>0.00</c:formatCode>
                <c:ptCount val="20"/>
                <c:pt idx="0">
                  <c:v>25.448210526315791</c:v>
                </c:pt>
                <c:pt idx="1">
                  <c:v>25.448210526315791</c:v>
                </c:pt>
                <c:pt idx="2">
                  <c:v>25.448210526315791</c:v>
                </c:pt>
                <c:pt idx="3">
                  <c:v>25.448210526315791</c:v>
                </c:pt>
                <c:pt idx="4">
                  <c:v>25.448210526315791</c:v>
                </c:pt>
                <c:pt idx="5">
                  <c:v>25.448210526315791</c:v>
                </c:pt>
                <c:pt idx="6">
                  <c:v>25.448210526315791</c:v>
                </c:pt>
                <c:pt idx="7">
                  <c:v>25.448210526315791</c:v>
                </c:pt>
                <c:pt idx="8">
                  <c:v>25.448210526315791</c:v>
                </c:pt>
                <c:pt idx="9">
                  <c:v>25.448210526315791</c:v>
                </c:pt>
                <c:pt idx="10">
                  <c:v>25.448210526315791</c:v>
                </c:pt>
                <c:pt idx="11">
                  <c:v>25.448210526315791</c:v>
                </c:pt>
                <c:pt idx="12">
                  <c:v>25.448210526315791</c:v>
                </c:pt>
                <c:pt idx="13">
                  <c:v>25.448210526315791</c:v>
                </c:pt>
                <c:pt idx="14">
                  <c:v>25.448210526315791</c:v>
                </c:pt>
                <c:pt idx="15">
                  <c:v>25.448210526315791</c:v>
                </c:pt>
                <c:pt idx="16">
                  <c:v>25.448210526315791</c:v>
                </c:pt>
                <c:pt idx="17">
                  <c:v>25.448210526315791</c:v>
                </c:pt>
                <c:pt idx="18">
                  <c:v>25.448210526315791</c:v>
                </c:pt>
                <c:pt idx="19">
                  <c:v>25.448210526315791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2C-4206-B92F-0FAC7A0AFDBA}"/>
            </c:ext>
          </c:extLst>
        </c:ser>
        <c:ser>
          <c:idx val="3"/>
          <c:order val="3"/>
          <c:tx>
            <c:v>LCL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'MR Chart'!$A$58:$A$77</c:f>
              <c:numCache>
                <c:formatCode>General</c:formatCode>
                <c:ptCount val="2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</c:numCache>
            </c:numRef>
          </c:cat>
          <c:val>
            <c:numRef>
              <c:f>'MR Chart'!$I$58:$I$77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2C-4206-B92F-0FAC7A0AF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3581680"/>
        <c:axId val="953580720"/>
      </c:lineChart>
      <c:catAx>
        <c:axId val="95358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580720"/>
        <c:crosses val="autoZero"/>
        <c:auto val="1"/>
        <c:lblAlgn val="ctr"/>
        <c:lblOffset val="100"/>
        <c:noMultiLvlLbl val="0"/>
      </c:catAx>
      <c:valAx>
        <c:axId val="9535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58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7</xdr:row>
      <xdr:rowOff>87630</xdr:rowOff>
    </xdr:from>
    <xdr:to>
      <xdr:col>16</xdr:col>
      <xdr:colOff>220980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2F61D-3C2C-4B0A-9138-F3686178B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320040</xdr:colOff>
      <xdr:row>9</xdr:row>
      <xdr:rowOff>167640</xdr:rowOff>
    </xdr:from>
    <xdr:to>
      <xdr:col>15</xdr:col>
      <xdr:colOff>505097</xdr:colOff>
      <xdr:row>13</xdr:row>
      <xdr:rowOff>45720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B5A1E6A-0262-4EC5-9998-C4D1E0B722A8}"/>
            </a:ext>
          </a:extLst>
        </xdr:cNvPr>
        <xdr:cNvSpPr/>
      </xdr:nvSpPr>
      <xdr:spPr>
        <a:xfrm>
          <a:off x="9288780" y="1813560"/>
          <a:ext cx="794657" cy="6096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526869</xdr:colOff>
      <xdr:row>11</xdr:row>
      <xdr:rowOff>84909</xdr:rowOff>
    </xdr:from>
    <xdr:to>
      <xdr:col>17</xdr:col>
      <xdr:colOff>494211</xdr:colOff>
      <xdr:row>12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3765E21-8979-4EBD-A57E-AFEA5DD02CD3}"/>
            </a:ext>
          </a:extLst>
        </xdr:cNvPr>
        <xdr:cNvCxnSpPr/>
      </xdr:nvCxnSpPr>
      <xdr:spPr>
        <a:xfrm>
          <a:off x="10105209" y="2096589"/>
          <a:ext cx="1186542" cy="1741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601806</xdr:colOff>
      <xdr:row>7</xdr:row>
      <xdr:rowOff>129887</xdr:rowOff>
    </xdr:from>
    <xdr:to>
      <xdr:col>19</xdr:col>
      <xdr:colOff>355023</xdr:colOff>
      <xdr:row>25</xdr:row>
      <xdr:rowOff>25977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CDF7F-C4A8-41CD-A236-B40F59E47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4328</xdr:colOff>
      <xdr:row>29</xdr:row>
      <xdr:rowOff>103909</xdr:rowOff>
    </xdr:from>
    <xdr:to>
      <xdr:col>21</xdr:col>
      <xdr:colOff>566057</xdr:colOff>
      <xdr:row>45</xdr:row>
      <xdr:rowOff>32658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0559B6-7E02-4CF4-8FEF-7E7E8BF95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168852</xdr:colOff>
      <xdr:row>53</xdr:row>
      <xdr:rowOff>8659</xdr:rowOff>
    </xdr:from>
    <xdr:to>
      <xdr:col>21</xdr:col>
      <xdr:colOff>242454</xdr:colOff>
      <xdr:row>68</xdr:row>
      <xdr:rowOff>107372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DB3935-4E60-4785-93BB-EEEBE065F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194830</xdr:colOff>
      <xdr:row>68</xdr:row>
      <xdr:rowOff>152399</xdr:rowOff>
    </xdr:from>
    <xdr:to>
      <xdr:col>21</xdr:col>
      <xdr:colOff>294409</xdr:colOff>
      <xdr:row>83</xdr:row>
      <xdr:rowOff>8660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6593E7-E10B-4512-80F9-3CE7B6DBF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457200</xdr:colOff>
      <xdr:row>54</xdr:row>
      <xdr:rowOff>130628</xdr:rowOff>
    </xdr:from>
    <xdr:to>
      <xdr:col>21</xdr:col>
      <xdr:colOff>32657</xdr:colOff>
      <xdr:row>58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492D828-CC94-474A-889A-9A4D601F99F1}"/>
            </a:ext>
          </a:extLst>
        </xdr:cNvPr>
        <xdr:cNvSpPr/>
      </xdr:nvSpPr>
      <xdr:spPr>
        <a:xfrm>
          <a:off x="12039600" y="9907088"/>
          <a:ext cx="792752" cy="58946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54429</xdr:colOff>
      <xdr:row>56</xdr:row>
      <xdr:rowOff>43543</xdr:rowOff>
    </xdr:from>
    <xdr:to>
      <xdr:col>23</xdr:col>
      <xdr:colOff>21771</xdr:colOff>
      <xdr:row>57</xdr:row>
      <xdr:rowOff>32657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C30B038-8634-483C-BAD8-3433AD83A2F0}"/>
            </a:ext>
          </a:extLst>
        </xdr:cNvPr>
        <xdr:cNvCxnSpPr/>
      </xdr:nvCxnSpPr>
      <xdr:spPr>
        <a:xfrm>
          <a:off x="12859839" y="10180048"/>
          <a:ext cx="1178922" cy="1662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522514</xdr:colOff>
      <xdr:row>70</xdr:row>
      <xdr:rowOff>32657</xdr:rowOff>
    </xdr:from>
    <xdr:to>
      <xdr:col>21</xdr:col>
      <xdr:colOff>97971</xdr:colOff>
      <xdr:row>73</xdr:row>
      <xdr:rowOff>87086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840DC33-057B-4619-9FBF-2AC2C399B038}"/>
            </a:ext>
          </a:extLst>
        </xdr:cNvPr>
        <xdr:cNvSpPr/>
      </xdr:nvSpPr>
      <xdr:spPr>
        <a:xfrm>
          <a:off x="12103009" y="12699002"/>
          <a:ext cx="792752" cy="60116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119743</xdr:colOff>
      <xdr:row>71</xdr:row>
      <xdr:rowOff>130629</xdr:rowOff>
    </xdr:from>
    <xdr:to>
      <xdr:col>22</xdr:col>
      <xdr:colOff>587829</xdr:colOff>
      <xdr:row>72</xdr:row>
      <xdr:rowOff>97972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A57ED6D-938F-44CF-9B14-5F71E51D06A7}"/>
            </a:ext>
          </a:extLst>
        </xdr:cNvPr>
        <xdr:cNvCxnSpPr/>
      </xdr:nvCxnSpPr>
      <xdr:spPr>
        <a:xfrm>
          <a:off x="12923248" y="12983664"/>
          <a:ext cx="1079591" cy="1406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8FCE-FFA3-460C-84DA-62BED41F8CA1}">
  <dimension ref="A1:S13"/>
  <sheetViews>
    <sheetView workbookViewId="0">
      <selection activeCell="B2" sqref="B2:B11"/>
    </sheetView>
  </sheetViews>
  <sheetFormatPr defaultRowHeight="14.4"/>
  <cols>
    <col min="9" max="9" width="15.77734375" bestFit="1" customWidth="1"/>
    <col min="10" max="10" width="8.33203125" customWidth="1"/>
  </cols>
  <sheetData>
    <row r="1" spans="1:19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I1" s="9" t="s">
        <v>26</v>
      </c>
      <c r="J1" s="9">
        <v>50</v>
      </c>
    </row>
    <row r="2" spans="1:19">
      <c r="A2" s="5">
        <v>1</v>
      </c>
      <c r="B2" s="6">
        <v>49.7</v>
      </c>
      <c r="C2" s="6">
        <f>MAX(0, 0+(B2-$J$1-$J$4))</f>
        <v>0</v>
      </c>
      <c r="D2" s="7">
        <f>MAX(0, 0+($J$1-B2-$J$4))</f>
        <v>0</v>
      </c>
      <c r="E2" s="8">
        <v>-5</v>
      </c>
      <c r="F2" s="8">
        <v>5</v>
      </c>
      <c r="I2" s="9" t="s">
        <v>27</v>
      </c>
      <c r="J2" s="9">
        <v>1</v>
      </c>
    </row>
    <row r="3" spans="1:19">
      <c r="A3" s="5">
        <v>2</v>
      </c>
      <c r="B3" s="6">
        <v>50.3</v>
      </c>
      <c r="C3" s="6">
        <f>MAX(0, C2+(B3-$J$1-$J$4))</f>
        <v>0</v>
      </c>
      <c r="D3" s="7">
        <f>MAX(0, D2+($J$1-B2-$J$4))</f>
        <v>0</v>
      </c>
      <c r="E3" s="8">
        <v>-5</v>
      </c>
      <c r="F3" s="8">
        <v>5</v>
      </c>
      <c r="I3" s="9" t="s">
        <v>28</v>
      </c>
      <c r="J3" s="9">
        <v>1</v>
      </c>
    </row>
    <row r="4" spans="1:19">
      <c r="A4" s="5">
        <v>3</v>
      </c>
      <c r="B4" s="6">
        <v>50.6</v>
      </c>
      <c r="C4" s="6">
        <f t="shared" ref="C4:C11" si="0">MAX(0, C3+(B4-$J$1-$J$4))</f>
        <v>0.10000000000000142</v>
      </c>
      <c r="D4" s="7">
        <f t="shared" ref="D4:D11" si="1">MAX(0, D3+($J$1-B3-$J$4))</f>
        <v>0</v>
      </c>
      <c r="E4" s="8">
        <v>-5</v>
      </c>
      <c r="F4" s="8">
        <v>5</v>
      </c>
      <c r="I4" s="9" t="s">
        <v>29</v>
      </c>
      <c r="J4" s="9">
        <v>0.5</v>
      </c>
    </row>
    <row r="5" spans="1:19">
      <c r="A5" s="5">
        <v>4</v>
      </c>
      <c r="B5" s="6">
        <v>51</v>
      </c>
      <c r="C5" s="6">
        <f t="shared" si="0"/>
        <v>0.60000000000000142</v>
      </c>
      <c r="D5" s="7">
        <f t="shared" si="1"/>
        <v>0</v>
      </c>
      <c r="E5" s="8">
        <v>-5</v>
      </c>
      <c r="F5" s="8">
        <v>5</v>
      </c>
      <c r="I5" s="9" t="s">
        <v>30</v>
      </c>
      <c r="J5" s="9">
        <v>5</v>
      </c>
    </row>
    <row r="6" spans="1:19">
      <c r="A6" s="5">
        <v>5</v>
      </c>
      <c r="B6" s="6">
        <v>51.2</v>
      </c>
      <c r="C6" s="6">
        <f t="shared" si="0"/>
        <v>1.3000000000000043</v>
      </c>
      <c r="D6" s="7">
        <f t="shared" si="1"/>
        <v>0</v>
      </c>
      <c r="E6" s="8">
        <v>-5</v>
      </c>
      <c r="F6" s="8">
        <v>5</v>
      </c>
    </row>
    <row r="7" spans="1:19">
      <c r="A7" s="5">
        <v>6</v>
      </c>
      <c r="B7" s="6">
        <v>51.5</v>
      </c>
      <c r="C7" s="6">
        <f t="shared" si="0"/>
        <v>2.3000000000000043</v>
      </c>
      <c r="D7" s="7">
        <f t="shared" si="1"/>
        <v>0</v>
      </c>
      <c r="E7" s="8">
        <v>-5</v>
      </c>
      <c r="F7" s="8">
        <v>5</v>
      </c>
    </row>
    <row r="8" spans="1:19">
      <c r="A8" s="5">
        <v>7</v>
      </c>
      <c r="B8" s="6">
        <v>51.4</v>
      </c>
      <c r="C8" s="6">
        <f t="shared" si="0"/>
        <v>3.2000000000000028</v>
      </c>
      <c r="D8" s="7">
        <f t="shared" si="1"/>
        <v>0</v>
      </c>
      <c r="E8" s="8">
        <v>-5</v>
      </c>
      <c r="F8" s="8">
        <v>5</v>
      </c>
    </row>
    <row r="9" spans="1:19">
      <c r="A9" s="5">
        <v>8</v>
      </c>
      <c r="B9" s="6">
        <v>51.3</v>
      </c>
      <c r="C9" s="6">
        <f t="shared" si="0"/>
        <v>4</v>
      </c>
      <c r="D9" s="7">
        <f t="shared" si="1"/>
        <v>0</v>
      </c>
      <c r="E9" s="8">
        <v>-5</v>
      </c>
      <c r="F9" s="8">
        <v>5</v>
      </c>
    </row>
    <row r="10" spans="1:19">
      <c r="A10" s="5">
        <v>9</v>
      </c>
      <c r="B10" s="6">
        <v>51.6</v>
      </c>
      <c r="C10" s="6">
        <f t="shared" si="0"/>
        <v>5.1000000000000014</v>
      </c>
      <c r="D10" s="7">
        <f t="shared" si="1"/>
        <v>0</v>
      </c>
      <c r="E10" s="8">
        <v>-5</v>
      </c>
      <c r="F10" s="8">
        <v>5</v>
      </c>
    </row>
    <row r="11" spans="1:19">
      <c r="A11" s="5">
        <v>10</v>
      </c>
      <c r="B11" s="6">
        <v>51.8</v>
      </c>
      <c r="C11" s="6">
        <f t="shared" si="0"/>
        <v>6.3999999999999986</v>
      </c>
      <c r="D11" s="7">
        <f t="shared" si="1"/>
        <v>0</v>
      </c>
      <c r="E11" s="8">
        <v>-5</v>
      </c>
      <c r="F11" s="8">
        <v>5</v>
      </c>
    </row>
    <row r="13" spans="1:19">
      <c r="S13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EA6D-9614-4348-98EA-ED615F0B8A5E}">
  <dimension ref="A1:U46"/>
  <sheetViews>
    <sheetView topLeftCell="A30" workbookViewId="0">
      <selection activeCell="B27" sqref="B27:K46"/>
    </sheetView>
  </sheetViews>
  <sheetFormatPr defaultRowHeight="14.4"/>
  <sheetData>
    <row r="1" spans="1: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t="15.6">
      <c r="A2">
        <v>1</v>
      </c>
      <c r="B2" s="1">
        <v>11.7270020076823</v>
      </c>
      <c r="C2" s="1">
        <v>10.6595763822823</v>
      </c>
      <c r="D2" s="1">
        <v>10.866997155797799</v>
      </c>
      <c r="E2" s="1">
        <v>10.733324650253801</v>
      </c>
      <c r="F2" s="1">
        <v>11.0817649917943</v>
      </c>
      <c r="G2" s="1">
        <v>10.836299896141901</v>
      </c>
      <c r="H2" s="1">
        <v>10.600761599365599</v>
      </c>
      <c r="I2" s="1">
        <v>11.708516409840399</v>
      </c>
      <c r="J2" s="1">
        <v>11.5110046147999</v>
      </c>
      <c r="K2" s="1">
        <v>11.3686566027023</v>
      </c>
      <c r="L2" s="1">
        <v>11.213385208516099</v>
      </c>
      <c r="M2" s="1">
        <v>11.3461246278386</v>
      </c>
      <c r="N2" s="1">
        <v>10.897553696315001</v>
      </c>
      <c r="O2" s="1">
        <v>11.109093847890501</v>
      </c>
      <c r="P2" s="1">
        <v>10.657886430368601</v>
      </c>
      <c r="Q2" s="1">
        <v>10.8519781624356</v>
      </c>
      <c r="R2" s="1">
        <v>11.033737509588899</v>
      </c>
      <c r="S2" s="1">
        <v>11.408266251580599</v>
      </c>
      <c r="T2" s="1">
        <v>11.1846145878997</v>
      </c>
      <c r="U2" s="1">
        <v>10.427243662611099</v>
      </c>
    </row>
    <row r="3" spans="1:21" ht="15.6">
      <c r="A3">
        <v>2</v>
      </c>
      <c r="B3" s="1">
        <v>11.2063047235571</v>
      </c>
      <c r="C3" s="1">
        <v>11.1137573891111</v>
      </c>
      <c r="D3" s="1">
        <v>11.420525898665799</v>
      </c>
      <c r="E3" s="1">
        <v>11.2334320406678</v>
      </c>
      <c r="F3" s="1">
        <v>11.270658376059201</v>
      </c>
      <c r="G3" s="1">
        <v>10.956288518471901</v>
      </c>
      <c r="H3" s="1">
        <v>10.6173297903161</v>
      </c>
      <c r="I3" s="1">
        <v>10.174166771164501</v>
      </c>
      <c r="J3" s="1">
        <v>11.7175149565283</v>
      </c>
      <c r="K3" s="1">
        <v>10.7378931366099</v>
      </c>
      <c r="L3" s="1">
        <v>10.5367479821451</v>
      </c>
      <c r="M3" s="1">
        <v>10.984318301489701</v>
      </c>
      <c r="N3" s="1">
        <v>10.874115253967</v>
      </c>
      <c r="O3" s="1">
        <v>10.8739093798685</v>
      </c>
      <c r="P3" s="1">
        <v>10.687882050585401</v>
      </c>
      <c r="Q3" s="1">
        <v>10.631414149783399</v>
      </c>
      <c r="R3" s="1">
        <v>10.7093360258333</v>
      </c>
      <c r="S3" s="1">
        <v>11.424487496567499</v>
      </c>
      <c r="T3" s="1">
        <v>11.2989708054031</v>
      </c>
      <c r="U3" s="1">
        <v>11.0060705211153</v>
      </c>
    </row>
    <row r="4" spans="1:21" ht="15.6">
      <c r="A4">
        <v>3</v>
      </c>
      <c r="B4" s="1">
        <v>11.3447429944792</v>
      </c>
      <c r="C4" s="1">
        <v>10.787822655016599</v>
      </c>
      <c r="D4" s="1">
        <v>10.78106766346</v>
      </c>
      <c r="E4" s="1">
        <v>11.087580250339</v>
      </c>
      <c r="F4" s="1">
        <v>11.2515192777048</v>
      </c>
      <c r="G4" s="1">
        <v>11.5176354720264</v>
      </c>
      <c r="H4" s="1">
        <v>10.8482367462338</v>
      </c>
      <c r="I4" s="1">
        <v>10.821509783970001</v>
      </c>
      <c r="J4" s="1">
        <v>11.042175209894801</v>
      </c>
      <c r="K4" s="1">
        <v>10.672285726009401</v>
      </c>
      <c r="L4" s="1">
        <v>10.9481742100881</v>
      </c>
      <c r="M4" s="1">
        <v>11.1122302800048</v>
      </c>
      <c r="N4" s="1">
        <v>11.308324278161001</v>
      </c>
      <c r="O4" s="1">
        <v>11.025526928325901</v>
      </c>
      <c r="P4" s="1">
        <v>11.5766559886985</v>
      </c>
      <c r="Q4" s="1">
        <v>11.2267143357401</v>
      </c>
      <c r="R4" s="1">
        <v>10.876711735018199</v>
      </c>
      <c r="S4" s="1">
        <v>11.169939345470301</v>
      </c>
      <c r="T4" s="1">
        <v>11.4696462827161</v>
      </c>
      <c r="U4" s="1">
        <v>11.289935543096901</v>
      </c>
    </row>
    <row r="5" spans="1:21" ht="15.6">
      <c r="A5">
        <v>4</v>
      </c>
      <c r="B5" s="1">
        <v>10.735454935503199</v>
      </c>
      <c r="C5" s="1">
        <v>10.916278265259001</v>
      </c>
      <c r="D5" s="1">
        <v>10.879046237472499</v>
      </c>
      <c r="E5" s="1">
        <v>10.992748559072799</v>
      </c>
      <c r="F5" s="1">
        <v>10.837273065850599</v>
      </c>
      <c r="G5" s="1">
        <v>10.6987145084976</v>
      </c>
      <c r="H5" s="1">
        <v>10.941035542603601</v>
      </c>
      <c r="I5" s="1">
        <v>10.5374310432165</v>
      </c>
      <c r="J5" s="1">
        <v>10.6535344385226</v>
      </c>
      <c r="K5" s="1">
        <v>10.555819629496</v>
      </c>
      <c r="L5" s="1">
        <v>11.067594550672499</v>
      </c>
      <c r="M5" s="1">
        <v>10.9091853818831</v>
      </c>
      <c r="N5" s="1">
        <v>11.1525763043935</v>
      </c>
      <c r="O5" s="1">
        <v>11.299062635205599</v>
      </c>
      <c r="P5" s="1">
        <v>10.635618075155399</v>
      </c>
      <c r="Q5" s="1">
        <v>10.888830134020299</v>
      </c>
      <c r="R5" s="1">
        <v>10.9388287361596</v>
      </c>
      <c r="S5" s="1">
        <v>11.3591057701686</v>
      </c>
      <c r="T5" s="1">
        <v>10.125163295324599</v>
      </c>
      <c r="U5" s="1">
        <v>11.076208421933501</v>
      </c>
    </row>
    <row r="6" spans="1:21" ht="15.6">
      <c r="A6">
        <v>5</v>
      </c>
      <c r="B6" s="1">
        <v>10.8828461047248</v>
      </c>
      <c r="C6" s="1">
        <v>11.1381958364861</v>
      </c>
      <c r="D6" s="1">
        <v>10.821998862743101</v>
      </c>
      <c r="E6" s="1">
        <v>11.0456130418765</v>
      </c>
      <c r="F6" s="1">
        <v>11.0642640393585</v>
      </c>
      <c r="G6" s="1">
        <v>11.2746339635507</v>
      </c>
      <c r="H6" s="1">
        <v>10.9235132539907</v>
      </c>
      <c r="I6" s="1">
        <v>10.777355112619</v>
      </c>
      <c r="J6" s="1">
        <v>11.4192200160102</v>
      </c>
      <c r="K6" s="1">
        <v>11.174293218066399</v>
      </c>
      <c r="L6" s="1">
        <v>10.8368072469853</v>
      </c>
      <c r="M6" s="1">
        <v>10.744854151717201</v>
      </c>
      <c r="N6" s="1">
        <v>11.014768038763201</v>
      </c>
      <c r="O6" s="1">
        <v>11.0300707040904</v>
      </c>
      <c r="P6" s="1">
        <v>10.4434317412297</v>
      </c>
      <c r="Q6" s="1">
        <v>11.6191470492153</v>
      </c>
      <c r="R6" s="1">
        <v>10.831771303181601</v>
      </c>
      <c r="S6" s="1">
        <v>11.304754107379299</v>
      </c>
      <c r="T6" s="1">
        <v>10.941354237240599</v>
      </c>
      <c r="U6" s="1">
        <v>10.331764284558</v>
      </c>
    </row>
    <row r="7" spans="1:21" ht="15.6">
      <c r="A7">
        <v>6</v>
      </c>
      <c r="B7" s="1">
        <v>10.9318826476875</v>
      </c>
      <c r="C7" s="1">
        <v>11.2597726633762</v>
      </c>
      <c r="D7" s="1">
        <v>10.7064469171358</v>
      </c>
      <c r="E7" s="1">
        <v>10.6087359964623</v>
      </c>
      <c r="F7" s="1">
        <v>10.763905548398901</v>
      </c>
      <c r="G7" s="1">
        <v>11.108018098982001</v>
      </c>
      <c r="H7" s="1">
        <v>11.189467052501801</v>
      </c>
      <c r="I7" s="1">
        <v>11.111247996670899</v>
      </c>
      <c r="J7" s="1">
        <v>10.792570323640801</v>
      </c>
      <c r="K7" s="1">
        <v>11.976178394675401</v>
      </c>
      <c r="L7" s="1">
        <v>11.1193068212519</v>
      </c>
      <c r="M7" s="1">
        <v>10.231752865178199</v>
      </c>
      <c r="N7" s="1">
        <v>10.633263317392901</v>
      </c>
      <c r="O7" s="1">
        <v>10.7407891507308</v>
      </c>
      <c r="P7" s="1">
        <v>11.0966089016593</v>
      </c>
      <c r="Q7" s="1">
        <v>11.528703838317499</v>
      </c>
      <c r="R7" s="1">
        <v>11.2928928489962</v>
      </c>
      <c r="S7" s="1">
        <v>10.8663847425219</v>
      </c>
      <c r="T7" s="1">
        <v>11.123555360084501</v>
      </c>
      <c r="U7" s="1">
        <v>10.812112362549399</v>
      </c>
    </row>
    <row r="8" spans="1:21" ht="15.6">
      <c r="A8">
        <v>7</v>
      </c>
      <c r="B8" s="1">
        <v>11.274606154472201</v>
      </c>
      <c r="C8" s="1">
        <v>10.7205903291837</v>
      </c>
      <c r="D8" s="1">
        <v>10.9519401206152</v>
      </c>
      <c r="E8" s="1">
        <v>10.9788651300456</v>
      </c>
      <c r="F8" s="1">
        <v>10.6695528696519</v>
      </c>
      <c r="G8" s="1">
        <v>10.918148985254801</v>
      </c>
      <c r="H8" s="1">
        <v>11.1362431713451</v>
      </c>
      <c r="I8" s="1">
        <v>11.048316791057299</v>
      </c>
      <c r="J8" s="1">
        <v>10.8355667228714</v>
      </c>
      <c r="K8" s="1">
        <v>11.254650212920501</v>
      </c>
      <c r="L8" s="1">
        <v>10.982170087493101</v>
      </c>
      <c r="M8" s="1">
        <v>11.156569749424801</v>
      </c>
      <c r="N8" s="1">
        <v>10.593549183400899</v>
      </c>
      <c r="O8" s="1">
        <v>10.785724190278099</v>
      </c>
      <c r="P8" s="1">
        <v>11.9048472953901</v>
      </c>
      <c r="Q8" s="1">
        <v>11.0574036109176</v>
      </c>
      <c r="R8" s="1">
        <v>11.888422269486201</v>
      </c>
      <c r="S8" s="1">
        <v>11.150112559486001</v>
      </c>
      <c r="T8" s="1">
        <v>11.251038803921601</v>
      </c>
      <c r="U8" s="1">
        <v>10.8942886955438</v>
      </c>
    </row>
    <row r="9" spans="1:21" ht="15.6">
      <c r="A9">
        <v>8</v>
      </c>
      <c r="B9" s="1">
        <v>10.930532016803101</v>
      </c>
      <c r="C9" s="1">
        <v>11.315164677280199</v>
      </c>
      <c r="D9" s="1">
        <v>10.931482442516799</v>
      </c>
      <c r="E9" s="1">
        <v>11.400986587650699</v>
      </c>
      <c r="F9" s="1">
        <v>11.2312064833734</v>
      </c>
      <c r="G9" s="1">
        <v>10.630059538914001</v>
      </c>
      <c r="H9" s="1">
        <v>11.262930144640899</v>
      </c>
      <c r="I9" s="1">
        <v>10.7512427238161</v>
      </c>
      <c r="J9" s="1">
        <v>11.3102320819754</v>
      </c>
      <c r="K9" s="1">
        <v>10.7294275642467</v>
      </c>
      <c r="L9" s="1">
        <v>10.765424677932799</v>
      </c>
      <c r="M9" s="1">
        <v>10.9283288666972</v>
      </c>
      <c r="N9" s="1">
        <v>10.5088118961523</v>
      </c>
      <c r="O9" s="1">
        <v>10.957531423989</v>
      </c>
      <c r="P9" s="1">
        <v>11.011499495035499</v>
      </c>
      <c r="Q9" s="1">
        <v>10.901032699923199</v>
      </c>
      <c r="R9" s="1">
        <v>10.5368330119819</v>
      </c>
      <c r="S9" s="1">
        <v>10.895304317992</v>
      </c>
      <c r="T9" s="1">
        <v>10.543301926443901</v>
      </c>
      <c r="U9" s="1">
        <v>11.6347537458165</v>
      </c>
    </row>
    <row r="10" spans="1:21" ht="15.6">
      <c r="A10">
        <v>9</v>
      </c>
      <c r="B10" s="1">
        <v>11.1753853645408</v>
      </c>
      <c r="C10" s="1">
        <v>11.165035785261701</v>
      </c>
      <c r="D10" s="1">
        <v>11.382518128606</v>
      </c>
      <c r="E10" s="1">
        <v>11.024586943659999</v>
      </c>
      <c r="F10" s="1">
        <v>11.000012462268799</v>
      </c>
      <c r="G10" s="1">
        <v>10.9005506658808</v>
      </c>
      <c r="H10" s="1">
        <v>11.6223895647519</v>
      </c>
      <c r="I10" s="1">
        <v>11.271951234351899</v>
      </c>
      <c r="J10" s="1">
        <v>10.515173069611199</v>
      </c>
      <c r="K10" s="1">
        <v>11.2928218140667</v>
      </c>
      <c r="L10" s="1">
        <v>11.040340883662701</v>
      </c>
      <c r="M10" s="1">
        <v>10.9506642732873</v>
      </c>
      <c r="N10" s="1">
        <v>11.651298937718501</v>
      </c>
      <c r="O10" s="1">
        <v>10.9520829299884</v>
      </c>
      <c r="P10" s="1">
        <v>11.138734746311099</v>
      </c>
      <c r="Q10" s="1">
        <v>11.403258032781901</v>
      </c>
      <c r="R10" s="1">
        <v>11.044919092170201</v>
      </c>
      <c r="S10" s="1">
        <v>10.6850460180002</v>
      </c>
      <c r="T10" s="1">
        <v>10.6479458668896</v>
      </c>
      <c r="U10" s="1">
        <v>11.320198113494399</v>
      </c>
    </row>
    <row r="11" spans="1:21" ht="15.6">
      <c r="A11">
        <v>10</v>
      </c>
      <c r="B11" s="1">
        <v>10.487045925022199</v>
      </c>
      <c r="C11" s="1">
        <v>10.983033611614299</v>
      </c>
      <c r="D11" s="1">
        <v>10.937743814371601</v>
      </c>
      <c r="E11" s="1">
        <v>11.010343403372399</v>
      </c>
      <c r="F11" s="1">
        <v>10.9862702713476</v>
      </c>
      <c r="G11" s="1">
        <v>10.969658401139201</v>
      </c>
      <c r="H11" s="1">
        <v>11.4280718931068</v>
      </c>
      <c r="I11" s="1">
        <v>11.2178378734602</v>
      </c>
      <c r="J11" s="1">
        <v>10.315136116018801</v>
      </c>
      <c r="K11" s="1">
        <v>10.605084391470699</v>
      </c>
      <c r="L11" s="1">
        <v>10.932954279521701</v>
      </c>
      <c r="M11" s="1">
        <v>11.1014013431601</v>
      </c>
      <c r="N11" s="1">
        <v>11.2430937028009</v>
      </c>
      <c r="O11" s="1">
        <v>10.783546198065</v>
      </c>
      <c r="P11" s="1">
        <v>10.577788755217499</v>
      </c>
      <c r="Q11" s="1">
        <v>10.5987223287592</v>
      </c>
      <c r="R11" s="1">
        <v>10.495167296323601</v>
      </c>
      <c r="S11" s="1">
        <v>11.22216091144</v>
      </c>
      <c r="T11" s="1">
        <v>11.276739214411601</v>
      </c>
      <c r="U11" s="1">
        <v>10.9800217494299</v>
      </c>
    </row>
    <row r="12" spans="1:21" ht="15.6">
      <c r="A12">
        <v>11</v>
      </c>
      <c r="B12" s="1">
        <v>10.911537500556401</v>
      </c>
      <c r="C12" s="1">
        <v>10.951194700525299</v>
      </c>
      <c r="D12" s="1">
        <v>10.733946646777699</v>
      </c>
      <c r="E12" s="1">
        <v>10.816457721825801</v>
      </c>
      <c r="F12" s="1">
        <v>11.227781816413501</v>
      </c>
      <c r="G12" s="1">
        <v>10.4857117239298</v>
      </c>
      <c r="H12" s="1">
        <v>10.550860363388299</v>
      </c>
      <c r="I12" s="1">
        <v>11.226583309580599</v>
      </c>
      <c r="J12" s="1">
        <v>11.147239295070399</v>
      </c>
      <c r="K12" s="1">
        <v>10.501435468004299</v>
      </c>
      <c r="L12" s="1">
        <v>10.8975318380608</v>
      </c>
      <c r="M12" s="1">
        <v>10.6451628848663</v>
      </c>
      <c r="N12" s="1">
        <v>11.0642452424261</v>
      </c>
      <c r="O12" s="1">
        <v>11.0451660333965</v>
      </c>
      <c r="P12" s="1">
        <v>11.753397178300601</v>
      </c>
      <c r="Q12" s="1">
        <v>11.2357945437896</v>
      </c>
      <c r="R12" s="1">
        <v>11.4558778733625</v>
      </c>
      <c r="S12" s="1">
        <v>11.023608756790001</v>
      </c>
      <c r="T12" s="1">
        <v>10.959200034969401</v>
      </c>
      <c r="U12" s="1">
        <v>11.4582767272403</v>
      </c>
    </row>
    <row r="13" spans="1:21" ht="15.6">
      <c r="A13">
        <v>12</v>
      </c>
      <c r="B13" s="1">
        <v>10.7941033687108</v>
      </c>
      <c r="C13" s="1">
        <v>10.9455984124642</v>
      </c>
      <c r="D13" s="1">
        <v>11.40086432453</v>
      </c>
      <c r="E13" s="1">
        <v>10.992296567496901</v>
      </c>
      <c r="F13" s="1">
        <v>11.1486459243523</v>
      </c>
      <c r="G13" s="1">
        <v>11.0672637857048</v>
      </c>
      <c r="H13" s="1">
        <v>10.184865919300799</v>
      </c>
      <c r="I13" s="1">
        <v>10.851028911418901</v>
      </c>
      <c r="J13" s="1">
        <v>11.1402582993514</v>
      </c>
      <c r="K13" s="1">
        <v>11.2511048104276</v>
      </c>
      <c r="L13" s="1">
        <v>10.8221693223685</v>
      </c>
      <c r="M13" s="1">
        <v>10.8176386905043</v>
      </c>
      <c r="N13" s="1">
        <v>10.756439885163299</v>
      </c>
      <c r="O13" s="1">
        <v>11.3166321188932</v>
      </c>
      <c r="P13" s="1">
        <v>11.0562446782303</v>
      </c>
      <c r="Q13" s="1">
        <v>10.765810451619499</v>
      </c>
      <c r="R13" s="1">
        <v>11.4934690250067</v>
      </c>
      <c r="S13" s="1">
        <v>10.934507809305501</v>
      </c>
      <c r="T13" s="1">
        <v>11.1935814607574</v>
      </c>
      <c r="U13" s="1">
        <v>10.6343424530566</v>
      </c>
    </row>
    <row r="14" spans="1:21" ht="15.6">
      <c r="A14">
        <v>13</v>
      </c>
      <c r="B14" s="1">
        <v>10.605735744300199</v>
      </c>
      <c r="C14" s="1">
        <v>10.9242230946621</v>
      </c>
      <c r="D14" s="1">
        <v>11.3086697867227</v>
      </c>
      <c r="E14" s="1">
        <v>11.0580867531561</v>
      </c>
      <c r="F14" s="1">
        <v>11.087550293468601</v>
      </c>
      <c r="G14" s="1">
        <v>10.7121973532984</v>
      </c>
      <c r="H14" s="1">
        <v>11.3156760134331</v>
      </c>
      <c r="I14" s="1">
        <v>11.367003266187799</v>
      </c>
      <c r="J14" s="1">
        <v>11.0332997552525</v>
      </c>
      <c r="K14" s="1">
        <v>10.7277330679351</v>
      </c>
      <c r="L14" s="1">
        <v>11.015361370896001</v>
      </c>
      <c r="M14" s="1">
        <v>11.286831960396301</v>
      </c>
      <c r="N14" s="1">
        <v>10.7134089035281</v>
      </c>
      <c r="O14" s="1">
        <v>10.9372076781404</v>
      </c>
      <c r="P14" s="1">
        <v>11.238545565447801</v>
      </c>
      <c r="Q14" s="1">
        <v>10.8598870547779</v>
      </c>
      <c r="R14" s="1">
        <v>10.4181099603747</v>
      </c>
      <c r="S14" s="1">
        <v>11.1021046092508</v>
      </c>
      <c r="T14" s="1">
        <v>10.663774318348301</v>
      </c>
      <c r="U14" s="1">
        <v>10.8781066163827</v>
      </c>
    </row>
    <row r="15" spans="1:21" ht="15.6">
      <c r="A15">
        <v>14</v>
      </c>
      <c r="B15" s="1">
        <v>11.1269936627265</v>
      </c>
      <c r="C15" s="1">
        <v>11.0057614061063</v>
      </c>
      <c r="D15" s="1">
        <v>10.942593387259199</v>
      </c>
      <c r="E15" s="1">
        <v>11.1065968893522</v>
      </c>
      <c r="F15" s="1">
        <v>11.312562807076301</v>
      </c>
      <c r="G15" s="1">
        <v>10.967015794214101</v>
      </c>
      <c r="H15" s="1">
        <v>10.3575264606927</v>
      </c>
      <c r="I15" s="1">
        <v>11.2312474802285</v>
      </c>
      <c r="J15" s="1">
        <v>11.1738395370728</v>
      </c>
      <c r="K15" s="1">
        <v>11.110595058248</v>
      </c>
      <c r="L15" s="1">
        <v>10.5384676909754</v>
      </c>
      <c r="M15" s="1">
        <v>11.149466158220401</v>
      </c>
      <c r="N15" s="1">
        <v>11.1369098761201</v>
      </c>
      <c r="O15" s="1">
        <v>10.9488574873342</v>
      </c>
      <c r="P15" s="1">
        <v>10.571569299469299</v>
      </c>
      <c r="Q15" s="1">
        <v>10.764869150473301</v>
      </c>
      <c r="R15" s="1">
        <v>11.680289567437301</v>
      </c>
      <c r="S15" s="1">
        <v>11.3456931421691</v>
      </c>
      <c r="T15" s="1">
        <v>10.4281691614725</v>
      </c>
      <c r="U15" s="1">
        <v>11.4943964062553</v>
      </c>
    </row>
    <row r="16" spans="1:21" ht="15.6">
      <c r="A16">
        <v>15</v>
      </c>
      <c r="B16" s="1">
        <v>11.0704960159176</v>
      </c>
      <c r="C16" s="1">
        <v>11.0128225889622</v>
      </c>
      <c r="D16" s="1">
        <v>10.6234600740051</v>
      </c>
      <c r="E16" s="1">
        <v>10.906797814569099</v>
      </c>
      <c r="F16" s="1">
        <v>11.2324473646394</v>
      </c>
      <c r="G16" s="1">
        <v>11.117674669334001</v>
      </c>
      <c r="H16" s="1">
        <v>11.023364919002899</v>
      </c>
      <c r="I16" s="1">
        <v>11.8780703656148</v>
      </c>
      <c r="J16" s="1">
        <v>11.378784208656199</v>
      </c>
      <c r="K16" s="1">
        <v>11.4922872983269</v>
      </c>
      <c r="L16" s="1">
        <v>10.900416720130499</v>
      </c>
      <c r="M16" s="1">
        <v>10.679679685226899</v>
      </c>
      <c r="N16" s="1">
        <v>11.391270996270601</v>
      </c>
      <c r="O16" s="1">
        <v>10.449619523490901</v>
      </c>
      <c r="P16" s="1">
        <v>11.384319268199199</v>
      </c>
      <c r="Q16" s="1">
        <v>11.201470155804101</v>
      </c>
      <c r="R16" s="1">
        <v>10.620355541716799</v>
      </c>
      <c r="S16" s="1">
        <v>11.137527099457101</v>
      </c>
      <c r="T16" s="1">
        <v>11.2664200986534</v>
      </c>
      <c r="U16" s="1">
        <v>11.525834025004</v>
      </c>
    </row>
    <row r="17" spans="1:21" ht="15.6">
      <c r="A17">
        <v>16</v>
      </c>
      <c r="B17" s="1">
        <v>11.0083699705611</v>
      </c>
      <c r="C17" s="1">
        <v>11.2065156975529</v>
      </c>
      <c r="D17" s="1">
        <v>10.888843045888301</v>
      </c>
      <c r="E17" s="1">
        <v>10.9408863540607</v>
      </c>
      <c r="F17" s="1">
        <v>11.0599408142646</v>
      </c>
      <c r="G17" s="1">
        <v>10.683371079263599</v>
      </c>
      <c r="H17" s="1">
        <v>11.012417820043201</v>
      </c>
      <c r="I17" s="1">
        <v>11.3722108736644</v>
      </c>
      <c r="J17" s="1">
        <v>11.339656725924099</v>
      </c>
      <c r="K17" s="1">
        <v>11.140393622506201</v>
      </c>
      <c r="L17" s="1">
        <v>10.864112969596899</v>
      </c>
      <c r="M17" s="1">
        <v>10.4491839394575</v>
      </c>
      <c r="N17" s="1">
        <v>10.576664084669799</v>
      </c>
      <c r="O17" s="1">
        <v>10.8063717238098</v>
      </c>
      <c r="P17" s="1">
        <v>11.175115580532999</v>
      </c>
      <c r="Q17" s="1">
        <v>10.7276672696027</v>
      </c>
      <c r="R17" s="1">
        <v>11.0793866412575</v>
      </c>
      <c r="S17" s="1">
        <v>11.0680929809091</v>
      </c>
      <c r="T17" s="1">
        <v>11.4176575030961</v>
      </c>
      <c r="U17" s="1">
        <v>11.255631598088099</v>
      </c>
    </row>
    <row r="18" spans="1:21" ht="15.6">
      <c r="A18">
        <v>17</v>
      </c>
      <c r="B18" s="1">
        <v>10.666580514143</v>
      </c>
      <c r="C18" s="1">
        <v>11.3817441716833</v>
      </c>
      <c r="D18" s="1">
        <v>10.9610147410688</v>
      </c>
      <c r="E18" s="1">
        <v>11.5059227216508</v>
      </c>
      <c r="F18" s="1">
        <v>10.8274097242222</v>
      </c>
      <c r="G18" s="1">
        <v>10.899110273578</v>
      </c>
      <c r="H18" s="1">
        <v>11.7795088273588</v>
      </c>
      <c r="I18" s="1">
        <v>11.4049225786646</v>
      </c>
      <c r="J18" s="1">
        <v>10.8010006503636</v>
      </c>
      <c r="K18" s="1">
        <v>11.325381099546901</v>
      </c>
      <c r="L18" s="1">
        <v>10.7720253739278</v>
      </c>
      <c r="M18" s="1">
        <v>10.8571884200522</v>
      </c>
      <c r="N18" s="1">
        <v>10.8876506600349</v>
      </c>
      <c r="O18" s="1">
        <v>10.651681853986201</v>
      </c>
      <c r="P18" s="1">
        <v>10.4797995117717</v>
      </c>
      <c r="Q18" s="1">
        <v>10.627753578990401</v>
      </c>
      <c r="R18" s="1">
        <v>11.384625220869699</v>
      </c>
      <c r="S18" s="1">
        <v>11.097924734768799</v>
      </c>
      <c r="T18" s="1">
        <v>11.5712200255723</v>
      </c>
      <c r="U18" s="1">
        <v>11.171763295166199</v>
      </c>
    </row>
    <row r="19" spans="1:21" ht="15.6">
      <c r="A19">
        <v>18</v>
      </c>
      <c r="B19" s="1">
        <v>11.2818730695854</v>
      </c>
      <c r="C19" s="1">
        <v>11.1167286089212</v>
      </c>
      <c r="D19" s="1">
        <v>11.069017063482899</v>
      </c>
      <c r="E19" s="1">
        <v>10.435411507375999</v>
      </c>
      <c r="F19" s="1">
        <v>10.837111589562401</v>
      </c>
      <c r="G19" s="1">
        <v>11.122521965137</v>
      </c>
      <c r="H19" s="1">
        <v>10.975775011092299</v>
      </c>
      <c r="I19" s="1">
        <v>11.018542589563999</v>
      </c>
      <c r="J19" s="1">
        <v>11.283490225661501</v>
      </c>
      <c r="K19" s="1">
        <v>10.4379692283827</v>
      </c>
      <c r="L19" s="1">
        <v>11.1631746477488</v>
      </c>
      <c r="M19" s="1">
        <v>11.053499119679101</v>
      </c>
      <c r="N19" s="1">
        <v>10.9789269818116</v>
      </c>
      <c r="O19" s="1">
        <v>10.903441337254099</v>
      </c>
      <c r="P19" s="1">
        <v>11.0178830571452</v>
      </c>
      <c r="Q19" s="1">
        <v>11.193542405450399</v>
      </c>
      <c r="R19" s="1">
        <v>11.0515160633653</v>
      </c>
      <c r="S19" s="1">
        <v>11.017927109145599</v>
      </c>
      <c r="T19" s="1">
        <v>10.463733638961999</v>
      </c>
      <c r="U19" s="1">
        <v>10.7948558511483</v>
      </c>
    </row>
    <row r="20" spans="1:21" ht="15.6">
      <c r="A20">
        <v>19</v>
      </c>
      <c r="B20" s="1">
        <v>11.087544852650799</v>
      </c>
      <c r="C20" s="1">
        <v>10.947571665402799</v>
      </c>
      <c r="D20" s="1">
        <v>10.9347090885559</v>
      </c>
      <c r="E20" s="1">
        <v>11.5573614201142</v>
      </c>
      <c r="F20" s="1">
        <v>11.298025467632799</v>
      </c>
      <c r="G20" s="1">
        <v>10.3574493001235</v>
      </c>
      <c r="H20" s="1">
        <v>10.822436927384899</v>
      </c>
      <c r="I20" s="1">
        <v>10.549064898970901</v>
      </c>
      <c r="J20" s="1">
        <v>11.0606365801412</v>
      </c>
      <c r="K20" s="1">
        <v>11.2315376854432</v>
      </c>
      <c r="L20" s="1">
        <v>10.8164321853523</v>
      </c>
      <c r="M20" s="1">
        <v>11.2355942333256</v>
      </c>
      <c r="N20" s="1">
        <v>10.502000705599199</v>
      </c>
      <c r="O20" s="1">
        <v>11.131396587529499</v>
      </c>
      <c r="P20" s="1">
        <v>10.797230628331601</v>
      </c>
      <c r="Q20" s="1">
        <v>10.851799906757201</v>
      </c>
      <c r="R20" s="1">
        <v>11.8034830345545</v>
      </c>
      <c r="S20" s="1">
        <v>10.7289368146212</v>
      </c>
      <c r="T20" s="1">
        <v>10.5321016583479</v>
      </c>
      <c r="U20" s="1">
        <v>11.2607148776485</v>
      </c>
    </row>
    <row r="21" spans="1:21" ht="15.6">
      <c r="A21">
        <v>20</v>
      </c>
      <c r="B21" s="2">
        <v>10.925233492416799</v>
      </c>
      <c r="C21" s="2">
        <v>11.156297589271899</v>
      </c>
      <c r="D21" s="2">
        <v>11.110855478226</v>
      </c>
      <c r="E21" s="2">
        <v>11.084390925153301</v>
      </c>
      <c r="F21" s="2">
        <v>10.5970424028305</v>
      </c>
      <c r="G21" s="2">
        <v>11.3625915678859</v>
      </c>
      <c r="H21" s="2">
        <v>11.0825333854017</v>
      </c>
      <c r="I21" s="2">
        <v>10.8700725633758</v>
      </c>
      <c r="J21" s="2">
        <v>10.8230601010196</v>
      </c>
      <c r="K21" s="2">
        <v>11.74847578884</v>
      </c>
      <c r="L21" s="2">
        <v>11.1351582724536</v>
      </c>
      <c r="M21" s="2">
        <v>11.0234313726667</v>
      </c>
      <c r="N21" s="2">
        <v>11.2103114165881</v>
      </c>
      <c r="O21" s="2">
        <v>11.380817318847701</v>
      </c>
      <c r="P21" s="2">
        <v>11.049161573749499</v>
      </c>
      <c r="Q21" s="2">
        <v>11.1265555076968</v>
      </c>
      <c r="R21" s="2">
        <v>11.9633952571584</v>
      </c>
      <c r="S21" s="2">
        <v>11.275373598641</v>
      </c>
      <c r="T21" s="2">
        <v>10.484153725697</v>
      </c>
      <c r="U21" s="3">
        <v>10.710145760568</v>
      </c>
    </row>
    <row r="27" spans="1:21">
      <c r="B27">
        <v>10.957459627946955</v>
      </c>
      <c r="C27">
        <v>11.676993855702458</v>
      </c>
      <c r="D27">
        <v>11.896558382262592</v>
      </c>
      <c r="E27">
        <v>12.135051767303375</v>
      </c>
      <c r="F27">
        <v>12.065209395417478</v>
      </c>
      <c r="G27">
        <v>10.151869011509698</v>
      </c>
      <c r="H27">
        <v>10.989688709572656</v>
      </c>
      <c r="I27">
        <v>11.083849832915584</v>
      </c>
      <c r="J27">
        <v>10.952939439279143</v>
      </c>
      <c r="K27">
        <v>10.830298626218573</v>
      </c>
    </row>
    <row r="28" spans="1:21">
      <c r="B28">
        <v>11.720635958967032</v>
      </c>
      <c r="C28">
        <v>13.244464773209765</v>
      </c>
      <c r="D28">
        <v>11.796155851528747</v>
      </c>
      <c r="E28">
        <v>9.1524571160459889</v>
      </c>
      <c r="F28">
        <v>11.502459548695478</v>
      </c>
      <c r="G28">
        <v>9.578714545399416</v>
      </c>
      <c r="H28">
        <v>11.431039203502005</v>
      </c>
      <c r="I28">
        <v>11.471600393464323</v>
      </c>
      <c r="J28">
        <v>11.64840616348898</v>
      </c>
      <c r="K28">
        <v>10.882707121539861</v>
      </c>
    </row>
    <row r="29" spans="1:21">
      <c r="B29">
        <v>11.056795776142971</v>
      </c>
      <c r="C29">
        <v>11.168438524522353</v>
      </c>
      <c r="D29">
        <v>11.255281626121141</v>
      </c>
      <c r="E29">
        <v>11.607021880821558</v>
      </c>
      <c r="F29">
        <v>12.786284079824108</v>
      </c>
      <c r="G29">
        <v>12.724543031994253</v>
      </c>
      <c r="H29">
        <v>11.376555923392297</v>
      </c>
      <c r="I29">
        <v>11.540387751496164</v>
      </c>
      <c r="J29">
        <v>10.445756308230338</v>
      </c>
      <c r="K29">
        <v>10.770468654130818</v>
      </c>
    </row>
    <row r="30" spans="1:21">
      <c r="B30">
        <v>10.924255113253603</v>
      </c>
      <c r="C30">
        <v>10.841793502380606</v>
      </c>
      <c r="D30">
        <v>10.701756329411873</v>
      </c>
      <c r="E30">
        <v>11.302000095214462</v>
      </c>
      <c r="F30">
        <v>10.591466454401379</v>
      </c>
      <c r="G30">
        <v>10.827109710420482</v>
      </c>
      <c r="H30">
        <v>10.27882992440369</v>
      </c>
      <c r="I30">
        <v>11.131895027405116</v>
      </c>
      <c r="J30">
        <v>9.3587941790372131</v>
      </c>
      <c r="K30">
        <v>11.757356807551114</v>
      </c>
    </row>
    <row r="31" spans="1:21">
      <c r="B31">
        <v>11.547532969246967</v>
      </c>
      <c r="C31">
        <v>11.740570945961517</v>
      </c>
      <c r="D31">
        <v>8.7326798364426939</v>
      </c>
      <c r="E31">
        <v>10.893266355027444</v>
      </c>
      <c r="F31">
        <v>11.502632352688815</v>
      </c>
      <c r="G31">
        <v>11.128504885904258</v>
      </c>
      <c r="H31">
        <v>9.1424890541145576</v>
      </c>
      <c r="I31">
        <v>11.393545284421416</v>
      </c>
      <c r="J31">
        <v>10.619528913424583</v>
      </c>
      <c r="K31">
        <v>11.852428562464192</v>
      </c>
    </row>
    <row r="32" spans="1:21">
      <c r="B32">
        <v>11.44243517211522</v>
      </c>
      <c r="C32">
        <v>10.45604269330739</v>
      </c>
      <c r="D32">
        <v>11.183951093529467</v>
      </c>
      <c r="E32">
        <v>10.590631993012503</v>
      </c>
      <c r="F32">
        <v>11.198103967957431</v>
      </c>
      <c r="G32">
        <v>11.404354628951987</v>
      </c>
      <c r="H32">
        <v>10.468839283761335</v>
      </c>
      <c r="I32">
        <v>11.004377049006289</v>
      </c>
      <c r="J32">
        <v>11.643162926533259</v>
      </c>
      <c r="K32">
        <v>10.447998212670209</v>
      </c>
    </row>
    <row r="33" spans="2:11">
      <c r="B33">
        <v>12.219562014992116</v>
      </c>
      <c r="C33">
        <v>11.473558080809889</v>
      </c>
      <c r="D33">
        <v>7.8733346725255249</v>
      </c>
      <c r="E33">
        <v>9.132329998295754</v>
      </c>
      <c r="F33">
        <v>10.11250835455372</v>
      </c>
      <c r="G33">
        <v>11.843299509395147</v>
      </c>
      <c r="H33">
        <v>11.913803538676584</v>
      </c>
      <c r="I33">
        <v>10.815039578859578</v>
      </c>
      <c r="J33">
        <v>10.759668404547265</v>
      </c>
      <c r="K33">
        <v>10.233186932795215</v>
      </c>
    </row>
    <row r="34" spans="2:11">
      <c r="B34">
        <v>11.230678657569806</v>
      </c>
      <c r="C34">
        <v>10.42482201393228</v>
      </c>
      <c r="D34">
        <v>11.075184622144443</v>
      </c>
      <c r="E34">
        <v>10.053493517092429</v>
      </c>
      <c r="F34">
        <v>11.097511580204591</v>
      </c>
      <c r="G34">
        <v>11.566188979317085</v>
      </c>
      <c r="H34">
        <v>10.720793190388358</v>
      </c>
      <c r="I34">
        <v>10.120605131136253</v>
      </c>
      <c r="J34">
        <v>10.996191596690332</v>
      </c>
      <c r="K34">
        <v>10.693321902921307</v>
      </c>
    </row>
    <row r="35" spans="2:11">
      <c r="B35">
        <v>8.9684936227183787</v>
      </c>
      <c r="C35">
        <v>11.310711917589069</v>
      </c>
      <c r="D35">
        <v>11.097663920567138</v>
      </c>
      <c r="E35">
        <v>10.296701495293528</v>
      </c>
      <c r="F35">
        <v>11.072884737417334</v>
      </c>
      <c r="G35">
        <v>11.561729044673266</v>
      </c>
      <c r="H35">
        <v>11.912766714716563</v>
      </c>
      <c r="I35">
        <v>11.312873104374157</v>
      </c>
      <c r="J35">
        <v>9.0457461026869712</v>
      </c>
      <c r="K35">
        <v>10.525212039113976</v>
      </c>
    </row>
    <row r="36" spans="2:11">
      <c r="B36">
        <v>11.244338131122058</v>
      </c>
      <c r="C36">
        <v>11.931086211747024</v>
      </c>
      <c r="D36">
        <v>12.484586497351993</v>
      </c>
      <c r="E36">
        <v>11.68715745899477</v>
      </c>
      <c r="F36">
        <v>11.708576059221523</v>
      </c>
      <c r="G36">
        <v>9.7553361427469643</v>
      </c>
      <c r="H36">
        <v>9.8837954481621271</v>
      </c>
      <c r="I36">
        <v>12.025719135466497</v>
      </c>
      <c r="J36">
        <v>12.057894784278469</v>
      </c>
      <c r="K36">
        <v>10.477586349055636</v>
      </c>
    </row>
    <row r="37" spans="2:11">
      <c r="B37">
        <v>10.444410256071714</v>
      </c>
      <c r="C37">
        <v>11.479615315523697</v>
      </c>
      <c r="D37">
        <v>12.49533217725344</v>
      </c>
      <c r="E37">
        <v>11.937300334296888</v>
      </c>
      <c r="F37">
        <v>12.139094471252756</v>
      </c>
      <c r="G37">
        <v>9.7148158800462259</v>
      </c>
      <c r="H37">
        <v>10.140650394363329</v>
      </c>
      <c r="I37">
        <v>10.827887328390498</v>
      </c>
      <c r="J37">
        <v>9.8422997523937372</v>
      </c>
      <c r="K37">
        <v>10.921644863459514</v>
      </c>
    </row>
    <row r="38" spans="2:11">
      <c r="B38">
        <v>11.808827386461198</v>
      </c>
      <c r="C38">
        <v>10.706085524192313</v>
      </c>
      <c r="D38">
        <v>11.148173845698475</v>
      </c>
      <c r="E38">
        <v>11.712780198480468</v>
      </c>
      <c r="F38">
        <v>11.562620349481003</v>
      </c>
      <c r="G38">
        <v>10.854659441805561</v>
      </c>
      <c r="H38">
        <v>10.177025634960737</v>
      </c>
      <c r="I38">
        <v>10.964352460918017</v>
      </c>
      <c r="J38">
        <v>10.032245447122259</v>
      </c>
      <c r="K38">
        <v>10.620849954478908</v>
      </c>
    </row>
    <row r="39" spans="2:11">
      <c r="B39">
        <v>10.249325916278176</v>
      </c>
      <c r="C39">
        <v>10.875686959310551</v>
      </c>
      <c r="D39">
        <v>10.589462155452347</v>
      </c>
      <c r="E39">
        <v>10.082110767883714</v>
      </c>
      <c r="F39">
        <v>9.3790850058337671</v>
      </c>
      <c r="G39">
        <v>12.813618943085894</v>
      </c>
      <c r="H39">
        <v>12.758803697410039</v>
      </c>
      <c r="I39">
        <v>10.288688846970908</v>
      </c>
      <c r="J39">
        <v>11.622175199421472</v>
      </c>
      <c r="K39">
        <v>10.915728600424481</v>
      </c>
    </row>
    <row r="40" spans="2:11">
      <c r="B40">
        <v>11.209172518478008</v>
      </c>
      <c r="C40">
        <v>12.28509338199161</v>
      </c>
      <c r="D40">
        <v>11.244417711908463</v>
      </c>
      <c r="E40">
        <v>9.5012074069143271</v>
      </c>
      <c r="F40">
        <v>12.54684140968835</v>
      </c>
      <c r="G40">
        <v>9.6320473147113805</v>
      </c>
      <c r="H40">
        <v>12.640623955861665</v>
      </c>
      <c r="I40">
        <v>10.061919985504355</v>
      </c>
      <c r="J40">
        <v>10.693000169170555</v>
      </c>
      <c r="K40">
        <v>11.47313289203681</v>
      </c>
    </row>
    <row r="41" spans="2:11">
      <c r="B41">
        <v>12.424027792634442</v>
      </c>
      <c r="C41">
        <v>11.138218289319193</v>
      </c>
      <c r="D41">
        <v>11.396016836273484</v>
      </c>
      <c r="E41">
        <v>11.521374764755601</v>
      </c>
      <c r="F41">
        <v>9.7653565006237475</v>
      </c>
      <c r="G41">
        <v>8.4858247844874857</v>
      </c>
      <c r="H41">
        <v>9.6772764862305483</v>
      </c>
      <c r="I41">
        <v>10.86448539518984</v>
      </c>
      <c r="J41">
        <v>10.161557403820334</v>
      </c>
      <c r="K41">
        <v>9.8034552336810155</v>
      </c>
    </row>
    <row r="42" spans="2:11">
      <c r="B42">
        <v>10.983107378536952</v>
      </c>
      <c r="C42">
        <v>10.947498387225787</v>
      </c>
      <c r="D42">
        <v>10.306828718797769</v>
      </c>
      <c r="E42">
        <v>9.6885337569017427</v>
      </c>
      <c r="F42">
        <v>11.335215978591586</v>
      </c>
      <c r="G42">
        <v>11.342887566401041</v>
      </c>
      <c r="H42">
        <v>11.446974687545444</v>
      </c>
      <c r="I42">
        <v>10.534825398111716</v>
      </c>
      <c r="J42">
        <v>12.102657839762978</v>
      </c>
      <c r="K42">
        <v>12.32927208713023</v>
      </c>
    </row>
    <row r="43" spans="2:11">
      <c r="B43">
        <v>11.782579369368031</v>
      </c>
      <c r="C43">
        <v>11.038422846298781</v>
      </c>
      <c r="D43">
        <v>11.425445811086101</v>
      </c>
      <c r="E43">
        <v>10.964276290736743</v>
      </c>
      <c r="F43">
        <v>11.884945271789329</v>
      </c>
      <c r="G43">
        <v>10.019833118179813</v>
      </c>
      <c r="H43">
        <v>10.997339833751321</v>
      </c>
      <c r="I43">
        <v>11.391158997697639</v>
      </c>
      <c r="J43">
        <v>10.339274942283518</v>
      </c>
      <c r="K43">
        <v>10.043045696705812</v>
      </c>
    </row>
    <row r="44" spans="2:11">
      <c r="B44">
        <v>8.5938727550581095</v>
      </c>
      <c r="C44">
        <v>12.594940036991611</v>
      </c>
      <c r="D44">
        <v>11.246619825955131</v>
      </c>
      <c r="E44">
        <v>10.403075995612889</v>
      </c>
      <c r="F44">
        <v>12.058160811478738</v>
      </c>
      <c r="G44">
        <v>10.360582129409304</v>
      </c>
      <c r="H44">
        <v>9.7961338013317434</v>
      </c>
      <c r="I44">
        <v>10.481637011083658</v>
      </c>
      <c r="J44">
        <v>9.7866523190657606</v>
      </c>
      <c r="K44">
        <v>10.191975454121129</v>
      </c>
    </row>
    <row r="45" spans="2:11">
      <c r="B45">
        <v>12.237726897923276</v>
      </c>
      <c r="C45">
        <v>11.595632733418606</v>
      </c>
      <c r="D45">
        <v>11.52215920393588</v>
      </c>
      <c r="E45">
        <v>11.105039922598516</v>
      </c>
      <c r="F45">
        <v>11.562086021343712</v>
      </c>
      <c r="G45">
        <v>11.282813167612185</v>
      </c>
      <c r="H45">
        <v>11.402370793633745</v>
      </c>
      <c r="I45">
        <v>12.119062850446207</v>
      </c>
      <c r="J45">
        <v>13.078682078970596</v>
      </c>
      <c r="K45">
        <v>10.920645556155941</v>
      </c>
    </row>
    <row r="46" spans="2:11">
      <c r="B46">
        <v>11.692941845298046</v>
      </c>
      <c r="C46">
        <v>11.03260776454932</v>
      </c>
      <c r="D46">
        <v>10.647122982676374</v>
      </c>
      <c r="E46">
        <v>8.6665231918357311</v>
      </c>
      <c r="F46">
        <v>10.472820596818346</v>
      </c>
      <c r="G46">
        <v>11.552665929970098</v>
      </c>
      <c r="H46">
        <v>10.183285232245689</v>
      </c>
      <c r="I46">
        <v>10.7834380485781</v>
      </c>
      <c r="J46">
        <v>11.064915290093049</v>
      </c>
      <c r="K46">
        <v>8.6252321323752401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E95C-B1A2-4A5E-AFD1-B7F1B71DF3E2}">
  <dimension ref="A1:X77"/>
  <sheetViews>
    <sheetView zoomScale="70" zoomScaleNormal="88" workbookViewId="0">
      <selection activeCell="B30" sqref="B30:B49"/>
    </sheetView>
  </sheetViews>
  <sheetFormatPr defaultRowHeight="14.4"/>
  <sheetData>
    <row r="1" spans="1:12">
      <c r="A1" s="10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0" t="s">
        <v>37</v>
      </c>
    </row>
    <row r="2" spans="1:12">
      <c r="A2" s="5">
        <v>1</v>
      </c>
      <c r="B2" s="5">
        <v>310</v>
      </c>
      <c r="C2" s="5"/>
      <c r="D2" s="11">
        <v>300.5</v>
      </c>
      <c r="E2" s="11">
        <v>321.21668533034716</v>
      </c>
      <c r="F2" s="11">
        <v>279.78331466965284</v>
      </c>
    </row>
    <row r="3" spans="1:12">
      <c r="A3" s="5">
        <v>2</v>
      </c>
      <c r="B3" s="5">
        <v>288</v>
      </c>
      <c r="C3" s="5">
        <f>ABS(B3-B2)</f>
        <v>22</v>
      </c>
      <c r="D3" s="11">
        <v>300.5</v>
      </c>
      <c r="E3" s="11">
        <v>321.21668533034716</v>
      </c>
      <c r="F3" s="11">
        <v>279.78331466965284</v>
      </c>
      <c r="K3" t="s">
        <v>38</v>
      </c>
    </row>
    <row r="4" spans="1:12">
      <c r="A4" s="5">
        <v>3</v>
      </c>
      <c r="B4" s="5">
        <v>297</v>
      </c>
      <c r="C4" s="5">
        <f t="shared" ref="C4:C21" si="0">ABS(B4-B3)</f>
        <v>9</v>
      </c>
      <c r="D4" s="11">
        <v>300.5</v>
      </c>
      <c r="E4" s="11">
        <v>321.21668533034716</v>
      </c>
      <c r="F4" s="11">
        <v>279.78331466965284</v>
      </c>
      <c r="K4" t="s">
        <v>39</v>
      </c>
      <c r="L4">
        <v>1.1279999999999999</v>
      </c>
    </row>
    <row r="5" spans="1:12">
      <c r="A5" s="5">
        <v>4</v>
      </c>
      <c r="B5" s="5">
        <v>298</v>
      </c>
      <c r="C5" s="5">
        <f t="shared" si="0"/>
        <v>1</v>
      </c>
      <c r="D5" s="11">
        <v>300.5</v>
      </c>
      <c r="E5" s="11">
        <v>321.21668533034716</v>
      </c>
      <c r="F5" s="11">
        <v>279.78331466965284</v>
      </c>
      <c r="K5" t="s">
        <v>40</v>
      </c>
      <c r="L5">
        <v>3.2669999999999999</v>
      </c>
    </row>
    <row r="6" spans="1:12">
      <c r="A6" s="5">
        <v>5</v>
      </c>
      <c r="B6" s="5">
        <v>307</v>
      </c>
      <c r="C6" s="5">
        <f t="shared" si="0"/>
        <v>9</v>
      </c>
      <c r="D6" s="11">
        <v>300.5</v>
      </c>
      <c r="E6" s="11">
        <v>321.21668533034716</v>
      </c>
      <c r="F6" s="11">
        <v>279.78331466965284</v>
      </c>
      <c r="K6" t="s">
        <v>41</v>
      </c>
      <c r="L6">
        <v>0</v>
      </c>
    </row>
    <row r="7" spans="1:12">
      <c r="A7" s="5">
        <v>6</v>
      </c>
      <c r="B7" s="5">
        <v>303</v>
      </c>
      <c r="C7" s="5">
        <f t="shared" si="0"/>
        <v>4</v>
      </c>
      <c r="D7" s="11">
        <v>300.5</v>
      </c>
      <c r="E7" s="11">
        <v>321.21668533034716</v>
      </c>
      <c r="F7" s="11">
        <v>279.78331466965284</v>
      </c>
    </row>
    <row r="8" spans="1:12">
      <c r="A8" s="5">
        <v>7</v>
      </c>
      <c r="B8" s="5">
        <v>294</v>
      </c>
      <c r="C8" s="5">
        <f t="shared" si="0"/>
        <v>9</v>
      </c>
      <c r="D8" s="11">
        <v>300.5</v>
      </c>
      <c r="E8" s="11">
        <v>321.21668533034716</v>
      </c>
      <c r="F8" s="11">
        <v>279.78331466965284</v>
      </c>
    </row>
    <row r="9" spans="1:12">
      <c r="A9" s="5">
        <v>8</v>
      </c>
      <c r="B9" s="5">
        <v>297</v>
      </c>
      <c r="C9" s="5">
        <f t="shared" si="0"/>
        <v>3</v>
      </c>
      <c r="D9" s="11">
        <v>300.5</v>
      </c>
      <c r="E9" s="11">
        <v>321.21668533034716</v>
      </c>
      <c r="F9" s="11">
        <v>279.78331466965284</v>
      </c>
    </row>
    <row r="10" spans="1:12">
      <c r="A10" s="5">
        <v>9</v>
      </c>
      <c r="B10" s="5">
        <v>308</v>
      </c>
      <c r="C10" s="5">
        <f t="shared" si="0"/>
        <v>11</v>
      </c>
      <c r="D10" s="11">
        <v>300.5</v>
      </c>
      <c r="E10" s="11">
        <v>321.21668533034716</v>
      </c>
      <c r="F10" s="11">
        <v>279.78331466965284</v>
      </c>
    </row>
    <row r="11" spans="1:12">
      <c r="A11" s="5">
        <v>10</v>
      </c>
      <c r="B11" s="5">
        <v>306</v>
      </c>
      <c r="C11" s="5">
        <f t="shared" si="0"/>
        <v>2</v>
      </c>
      <c r="D11" s="11">
        <v>300.5</v>
      </c>
      <c r="E11" s="11">
        <v>321.21668533034716</v>
      </c>
      <c r="F11" s="11">
        <v>279.78331466965284</v>
      </c>
    </row>
    <row r="12" spans="1:12">
      <c r="A12" s="5">
        <v>11</v>
      </c>
      <c r="B12" s="5">
        <v>294</v>
      </c>
      <c r="C12" s="5">
        <f t="shared" si="0"/>
        <v>12</v>
      </c>
      <c r="D12" s="11">
        <v>300.5</v>
      </c>
      <c r="E12" s="11">
        <v>321.21668533034716</v>
      </c>
      <c r="F12" s="11">
        <v>279.78331466965284</v>
      </c>
    </row>
    <row r="13" spans="1:12">
      <c r="A13" s="5">
        <v>12</v>
      </c>
      <c r="B13" s="5">
        <v>299</v>
      </c>
      <c r="C13" s="5">
        <f t="shared" si="0"/>
        <v>5</v>
      </c>
      <c r="D13" s="11">
        <v>300.5</v>
      </c>
      <c r="E13" s="11">
        <v>321.21668533034716</v>
      </c>
      <c r="F13" s="11">
        <v>279.78331466965284</v>
      </c>
    </row>
    <row r="14" spans="1:12">
      <c r="A14" s="5">
        <v>13</v>
      </c>
      <c r="B14" s="5">
        <v>297</v>
      </c>
      <c r="C14" s="5">
        <f t="shared" si="0"/>
        <v>2</v>
      </c>
      <c r="D14" s="11">
        <v>300.5</v>
      </c>
      <c r="E14" s="11">
        <v>321.21668533034716</v>
      </c>
      <c r="F14" s="11">
        <v>279.78331466965284</v>
      </c>
    </row>
    <row r="15" spans="1:12">
      <c r="A15" s="5">
        <v>14</v>
      </c>
      <c r="B15" s="5">
        <v>299</v>
      </c>
      <c r="C15" s="5">
        <f t="shared" si="0"/>
        <v>2</v>
      </c>
      <c r="D15" s="11">
        <v>300.5</v>
      </c>
      <c r="E15" s="11">
        <v>321.21668533034716</v>
      </c>
      <c r="F15" s="11">
        <v>279.78331466965284</v>
      </c>
    </row>
    <row r="16" spans="1:12">
      <c r="A16" s="5">
        <v>15</v>
      </c>
      <c r="B16" s="5">
        <v>314</v>
      </c>
      <c r="C16" s="5">
        <f t="shared" si="0"/>
        <v>15</v>
      </c>
      <c r="D16" s="11">
        <v>300.5</v>
      </c>
      <c r="E16" s="11">
        <v>321.21668533034716</v>
      </c>
      <c r="F16" s="11">
        <v>279.78331466965284</v>
      </c>
    </row>
    <row r="17" spans="1:6">
      <c r="A17" s="5">
        <v>16</v>
      </c>
      <c r="B17" s="5">
        <v>295</v>
      </c>
      <c r="C17" s="5">
        <f t="shared" si="0"/>
        <v>19</v>
      </c>
      <c r="D17" s="11">
        <v>300.5</v>
      </c>
      <c r="E17" s="11">
        <v>321.21668533034716</v>
      </c>
      <c r="F17" s="11">
        <v>279.78331466965284</v>
      </c>
    </row>
    <row r="18" spans="1:6">
      <c r="A18" s="5">
        <v>17</v>
      </c>
      <c r="B18" s="5">
        <v>293</v>
      </c>
      <c r="C18" s="5">
        <f t="shared" si="0"/>
        <v>2</v>
      </c>
      <c r="D18" s="11">
        <v>300.5</v>
      </c>
      <c r="E18" s="11">
        <v>321.21668533034716</v>
      </c>
      <c r="F18" s="11">
        <v>279.78331466965284</v>
      </c>
    </row>
    <row r="19" spans="1:6">
      <c r="A19" s="5">
        <v>18</v>
      </c>
      <c r="B19" s="5">
        <v>306</v>
      </c>
      <c r="C19" s="5">
        <f t="shared" si="0"/>
        <v>13</v>
      </c>
      <c r="D19" s="11">
        <v>300.5</v>
      </c>
      <c r="E19" s="11">
        <v>321.21668533034716</v>
      </c>
      <c r="F19" s="11">
        <v>279.78331466965284</v>
      </c>
    </row>
    <row r="20" spans="1:6">
      <c r="A20" s="5">
        <v>19</v>
      </c>
      <c r="B20" s="5">
        <v>301</v>
      </c>
      <c r="C20" s="5">
        <f t="shared" si="0"/>
        <v>5</v>
      </c>
      <c r="D20" s="11">
        <v>300.5</v>
      </c>
      <c r="E20" s="11">
        <v>321.21668533034716</v>
      </c>
      <c r="F20" s="11">
        <v>279.78331466965284</v>
      </c>
    </row>
    <row r="21" spans="1:6">
      <c r="A21" s="5">
        <v>20</v>
      </c>
      <c r="B21" s="5">
        <v>304</v>
      </c>
      <c r="C21" s="5">
        <f t="shared" si="0"/>
        <v>3</v>
      </c>
      <c r="D21" s="11">
        <v>300.5</v>
      </c>
      <c r="E21" s="11">
        <v>321.21668533034716</v>
      </c>
      <c r="F21" s="11">
        <v>279.78331466965284</v>
      </c>
    </row>
    <row r="22" spans="1:6">
      <c r="B22">
        <f>AVERAGE(B2:B21)</f>
        <v>300.5</v>
      </c>
      <c r="C22">
        <f>SUM(C3:C21)/19</f>
        <v>7.7894736842105265</v>
      </c>
    </row>
    <row r="23" spans="1:6">
      <c r="B23" t="s">
        <v>42</v>
      </c>
      <c r="C23" t="s">
        <v>43</v>
      </c>
    </row>
    <row r="25" spans="1:6">
      <c r="A25" t="s">
        <v>44</v>
      </c>
    </row>
    <row r="26" spans="1:6">
      <c r="A26" t="s">
        <v>36</v>
      </c>
      <c r="B26" s="12">
        <f>$B$22+3*($C$22/$L$4)</f>
        <v>321.21668533034716</v>
      </c>
    </row>
    <row r="27" spans="1:6">
      <c r="A27" t="s">
        <v>37</v>
      </c>
      <c r="B27" s="12">
        <f>$B$22-3*($C$22/$L$4)</f>
        <v>279.78331466965284</v>
      </c>
    </row>
    <row r="29" spans="1:6">
      <c r="A29" s="10" t="s">
        <v>32</v>
      </c>
      <c r="B29" s="10" t="s">
        <v>33</v>
      </c>
      <c r="C29" s="10" t="s">
        <v>34</v>
      </c>
      <c r="D29" s="10" t="s">
        <v>45</v>
      </c>
      <c r="E29" s="10" t="s">
        <v>36</v>
      </c>
      <c r="F29" s="10" t="s">
        <v>37</v>
      </c>
    </row>
    <row r="30" spans="1:6">
      <c r="A30" s="5">
        <v>1</v>
      </c>
      <c r="B30" s="5">
        <v>310</v>
      </c>
      <c r="C30" s="5"/>
      <c r="D30" s="11">
        <v>7.7894736842105265</v>
      </c>
      <c r="E30" s="11">
        <v>25.448210526315791</v>
      </c>
      <c r="F30" s="11">
        <v>0</v>
      </c>
    </row>
    <row r="31" spans="1:6">
      <c r="A31" s="5">
        <v>2</v>
      </c>
      <c r="B31" s="5">
        <v>288</v>
      </c>
      <c r="C31" s="5">
        <f>ABS(B31-B30)</f>
        <v>22</v>
      </c>
      <c r="D31" s="11">
        <v>7.7894736842105265</v>
      </c>
      <c r="E31" s="11">
        <v>25.448210526315791</v>
      </c>
      <c r="F31" s="11">
        <v>0</v>
      </c>
    </row>
    <row r="32" spans="1:6">
      <c r="A32" s="5">
        <v>3</v>
      </c>
      <c r="B32" s="5">
        <v>297</v>
      </c>
      <c r="C32" s="5">
        <f t="shared" ref="C32:C49" si="1">ABS(B32-B31)</f>
        <v>9</v>
      </c>
      <c r="D32" s="11">
        <v>7.7894736842105265</v>
      </c>
      <c r="E32" s="11">
        <v>25.448210526315791</v>
      </c>
      <c r="F32" s="11">
        <v>0</v>
      </c>
    </row>
    <row r="33" spans="1:6">
      <c r="A33" s="5">
        <v>4</v>
      </c>
      <c r="B33" s="5">
        <v>298</v>
      </c>
      <c r="C33" s="5">
        <f t="shared" si="1"/>
        <v>1</v>
      </c>
      <c r="D33" s="11">
        <v>7.7894736842105265</v>
      </c>
      <c r="E33" s="11">
        <v>25.448210526315791</v>
      </c>
      <c r="F33" s="11">
        <v>0</v>
      </c>
    </row>
    <row r="34" spans="1:6">
      <c r="A34" s="5">
        <v>5</v>
      </c>
      <c r="B34" s="5">
        <v>307</v>
      </c>
      <c r="C34" s="5">
        <f t="shared" si="1"/>
        <v>9</v>
      </c>
      <c r="D34" s="11">
        <v>7.7894736842105265</v>
      </c>
      <c r="E34" s="11">
        <v>25.448210526315791</v>
      </c>
      <c r="F34" s="11">
        <v>0</v>
      </c>
    </row>
    <row r="35" spans="1:6">
      <c r="A35" s="5">
        <v>6</v>
      </c>
      <c r="B35" s="5">
        <v>303</v>
      </c>
      <c r="C35" s="5">
        <f t="shared" si="1"/>
        <v>4</v>
      </c>
      <c r="D35" s="11">
        <v>7.7894736842105265</v>
      </c>
      <c r="E35" s="11">
        <v>25.448210526315791</v>
      </c>
      <c r="F35" s="11">
        <v>0</v>
      </c>
    </row>
    <row r="36" spans="1:6">
      <c r="A36" s="5">
        <v>7</v>
      </c>
      <c r="B36" s="5">
        <v>294</v>
      </c>
      <c r="C36" s="5">
        <f t="shared" si="1"/>
        <v>9</v>
      </c>
      <c r="D36" s="11">
        <v>7.7894736842105265</v>
      </c>
      <c r="E36" s="11">
        <v>25.448210526315791</v>
      </c>
      <c r="F36" s="11">
        <v>0</v>
      </c>
    </row>
    <row r="37" spans="1:6">
      <c r="A37" s="5">
        <v>8</v>
      </c>
      <c r="B37" s="5">
        <v>297</v>
      </c>
      <c r="C37" s="5">
        <f t="shared" si="1"/>
        <v>3</v>
      </c>
      <c r="D37" s="11">
        <v>7.7894736842105265</v>
      </c>
      <c r="E37" s="11">
        <v>25.448210526315791</v>
      </c>
      <c r="F37" s="11">
        <v>0</v>
      </c>
    </row>
    <row r="38" spans="1:6">
      <c r="A38" s="5">
        <v>9</v>
      </c>
      <c r="B38" s="5">
        <v>308</v>
      </c>
      <c r="C38" s="5">
        <f t="shared" si="1"/>
        <v>11</v>
      </c>
      <c r="D38" s="11">
        <v>7.7894736842105265</v>
      </c>
      <c r="E38" s="11">
        <v>25.448210526315791</v>
      </c>
      <c r="F38" s="11">
        <v>0</v>
      </c>
    </row>
    <row r="39" spans="1:6">
      <c r="A39" s="5">
        <v>10</v>
      </c>
      <c r="B39" s="5">
        <v>306</v>
      </c>
      <c r="C39" s="5">
        <f t="shared" si="1"/>
        <v>2</v>
      </c>
      <c r="D39" s="11">
        <v>7.7894736842105265</v>
      </c>
      <c r="E39" s="11">
        <v>25.448210526315791</v>
      </c>
      <c r="F39" s="11">
        <v>0</v>
      </c>
    </row>
    <row r="40" spans="1:6">
      <c r="A40" s="5">
        <v>11</v>
      </c>
      <c r="B40" s="5">
        <v>294</v>
      </c>
      <c r="C40" s="5">
        <f t="shared" si="1"/>
        <v>12</v>
      </c>
      <c r="D40" s="11">
        <v>7.7894736842105265</v>
      </c>
      <c r="E40" s="11">
        <v>25.448210526315791</v>
      </c>
      <c r="F40" s="11">
        <v>0</v>
      </c>
    </row>
    <row r="41" spans="1:6">
      <c r="A41" s="5">
        <v>12</v>
      </c>
      <c r="B41" s="5">
        <v>299</v>
      </c>
      <c r="C41" s="5">
        <f t="shared" si="1"/>
        <v>5</v>
      </c>
      <c r="D41" s="11">
        <v>7.7894736842105265</v>
      </c>
      <c r="E41" s="11">
        <v>25.448210526315791</v>
      </c>
      <c r="F41" s="11">
        <v>0</v>
      </c>
    </row>
    <row r="42" spans="1:6">
      <c r="A42" s="5">
        <v>13</v>
      </c>
      <c r="B42" s="5">
        <v>297</v>
      </c>
      <c r="C42" s="5">
        <f t="shared" si="1"/>
        <v>2</v>
      </c>
      <c r="D42" s="11">
        <v>7.7894736842105265</v>
      </c>
      <c r="E42" s="11">
        <v>25.448210526315791</v>
      </c>
      <c r="F42" s="11">
        <v>0</v>
      </c>
    </row>
    <row r="43" spans="1:6">
      <c r="A43" s="5">
        <v>14</v>
      </c>
      <c r="B43" s="5">
        <v>299</v>
      </c>
      <c r="C43" s="5">
        <f t="shared" si="1"/>
        <v>2</v>
      </c>
      <c r="D43" s="11">
        <v>7.7894736842105265</v>
      </c>
      <c r="E43" s="11">
        <v>25.448210526315791</v>
      </c>
      <c r="F43" s="11">
        <v>0</v>
      </c>
    </row>
    <row r="44" spans="1:6">
      <c r="A44" s="5">
        <v>15</v>
      </c>
      <c r="B44" s="5">
        <v>314</v>
      </c>
      <c r="C44" s="5">
        <f t="shared" si="1"/>
        <v>15</v>
      </c>
      <c r="D44" s="11">
        <v>7.7894736842105265</v>
      </c>
      <c r="E44" s="11">
        <v>25.448210526315791</v>
      </c>
      <c r="F44" s="11">
        <v>0</v>
      </c>
    </row>
    <row r="45" spans="1:6">
      <c r="A45" s="5">
        <v>16</v>
      </c>
      <c r="B45" s="5">
        <v>295</v>
      </c>
      <c r="C45" s="5">
        <f t="shared" si="1"/>
        <v>19</v>
      </c>
      <c r="D45" s="11">
        <v>7.7894736842105265</v>
      </c>
      <c r="E45" s="11">
        <v>25.448210526315791</v>
      </c>
      <c r="F45" s="11">
        <v>0</v>
      </c>
    </row>
    <row r="46" spans="1:6">
      <c r="A46" s="5">
        <v>17</v>
      </c>
      <c r="B46" s="5">
        <v>293</v>
      </c>
      <c r="C46" s="5">
        <f t="shared" si="1"/>
        <v>2</v>
      </c>
      <c r="D46" s="11">
        <v>7.7894736842105265</v>
      </c>
      <c r="E46" s="11">
        <v>25.448210526315791</v>
      </c>
      <c r="F46" s="11">
        <v>0</v>
      </c>
    </row>
    <row r="47" spans="1:6">
      <c r="A47" s="5">
        <v>18</v>
      </c>
      <c r="B47" s="5">
        <v>306</v>
      </c>
      <c r="C47" s="5">
        <f t="shared" si="1"/>
        <v>13</v>
      </c>
      <c r="D47" s="11">
        <v>7.7894736842105265</v>
      </c>
      <c r="E47" s="11">
        <v>25.448210526315791</v>
      </c>
      <c r="F47" s="11">
        <v>0</v>
      </c>
    </row>
    <row r="48" spans="1:6">
      <c r="A48" s="5">
        <v>19</v>
      </c>
      <c r="B48" s="5">
        <v>301</v>
      </c>
      <c r="C48" s="5">
        <f t="shared" si="1"/>
        <v>5</v>
      </c>
      <c r="D48" s="11">
        <v>7.7894736842105265</v>
      </c>
      <c r="E48" s="11">
        <v>25.448210526315791</v>
      </c>
      <c r="F48" s="11">
        <v>0</v>
      </c>
    </row>
    <row r="49" spans="1:24">
      <c r="A49" s="5">
        <v>20</v>
      </c>
      <c r="B49" s="5">
        <v>304</v>
      </c>
      <c r="C49" s="5">
        <f t="shared" si="1"/>
        <v>3</v>
      </c>
      <c r="D49" s="11">
        <v>7.7894736842105265</v>
      </c>
      <c r="E49" s="11">
        <v>25.448210526315791</v>
      </c>
      <c r="F49" s="11">
        <v>0</v>
      </c>
    </row>
    <row r="50" spans="1:24">
      <c r="B50">
        <f>AVERAGE(B30:B49)</f>
        <v>300.5</v>
      </c>
      <c r="C50">
        <f>SUM(C31:C49)/19</f>
        <v>7.7894736842105265</v>
      </c>
    </row>
    <row r="51" spans="1:24">
      <c r="B51" t="s">
        <v>42</v>
      </c>
      <c r="C51" t="s">
        <v>43</v>
      </c>
    </row>
    <row r="53" spans="1:24">
      <c r="A53" t="s">
        <v>46</v>
      </c>
    </row>
    <row r="54" spans="1:24">
      <c r="A54" t="s">
        <v>36</v>
      </c>
      <c r="B54">
        <f>$L$5*$C$22</f>
        <v>25.448210526315791</v>
      </c>
    </row>
    <row r="55" spans="1:24">
      <c r="A55" t="s">
        <v>37</v>
      </c>
      <c r="B55">
        <f>$L$6*$C$22</f>
        <v>0</v>
      </c>
    </row>
    <row r="56" spans="1:24">
      <c r="D56" s="17" t="s">
        <v>47</v>
      </c>
      <c r="E56" s="17"/>
      <c r="F56" s="17"/>
      <c r="G56" s="18" t="s">
        <v>48</v>
      </c>
      <c r="H56" s="18"/>
      <c r="I56" s="18"/>
    </row>
    <row r="57" spans="1:24">
      <c r="A57" s="14" t="s">
        <v>49</v>
      </c>
      <c r="B57" s="14" t="s">
        <v>33</v>
      </c>
      <c r="C57" s="14" t="s">
        <v>50</v>
      </c>
      <c r="D57" s="15" t="s">
        <v>42</v>
      </c>
      <c r="E57" s="13" t="s">
        <v>36</v>
      </c>
      <c r="F57" s="13" t="s">
        <v>37</v>
      </c>
      <c r="G57" s="4" t="s">
        <v>45</v>
      </c>
      <c r="H57" s="4" t="s">
        <v>36</v>
      </c>
      <c r="I57" s="4" t="s">
        <v>37</v>
      </c>
    </row>
    <row r="58" spans="1:24">
      <c r="A58" s="8">
        <v>21</v>
      </c>
      <c r="B58" s="8">
        <v>305</v>
      </c>
      <c r="C58" s="8"/>
      <c r="D58" s="16">
        <v>300.5</v>
      </c>
      <c r="E58" s="16">
        <v>321.21668533034716</v>
      </c>
      <c r="F58" s="16">
        <v>279.78331466965284</v>
      </c>
      <c r="G58" s="16">
        <v>7.7894736842105265</v>
      </c>
      <c r="H58" s="16">
        <v>25.448210526315791</v>
      </c>
      <c r="I58" s="16">
        <v>0</v>
      </c>
      <c r="X58" t="s">
        <v>51</v>
      </c>
    </row>
    <row r="59" spans="1:24">
      <c r="A59" s="8">
        <v>22</v>
      </c>
      <c r="B59" s="8">
        <v>282</v>
      </c>
      <c r="C59" s="8">
        <f>ABS(B59-B58)</f>
        <v>23</v>
      </c>
      <c r="D59" s="16">
        <v>300.5</v>
      </c>
      <c r="E59" s="16">
        <v>321.21668533034716</v>
      </c>
      <c r="F59" s="16">
        <v>279.78331466965284</v>
      </c>
      <c r="G59" s="16">
        <v>7.7894736842105265</v>
      </c>
      <c r="H59" s="16">
        <v>25.448210526315791</v>
      </c>
      <c r="I59" s="16">
        <v>0</v>
      </c>
    </row>
    <row r="60" spans="1:24">
      <c r="A60" s="8">
        <v>23</v>
      </c>
      <c r="B60" s="8">
        <v>305</v>
      </c>
      <c r="C60" s="8">
        <f t="shared" ref="C60:C77" si="2">ABS(B60-B59)</f>
        <v>23</v>
      </c>
      <c r="D60" s="16">
        <v>300.5</v>
      </c>
      <c r="E60" s="16">
        <v>321.21668533034716</v>
      </c>
      <c r="F60" s="16">
        <v>279.78331466965284</v>
      </c>
      <c r="G60" s="16">
        <v>7.7894736842105265</v>
      </c>
      <c r="H60" s="16">
        <v>25.448210526315791</v>
      </c>
      <c r="I60" s="16">
        <v>0</v>
      </c>
    </row>
    <row r="61" spans="1:24">
      <c r="A61" s="8">
        <v>24</v>
      </c>
      <c r="B61" s="8">
        <v>296</v>
      </c>
      <c r="C61" s="8">
        <f t="shared" si="2"/>
        <v>9</v>
      </c>
      <c r="D61" s="16">
        <v>300.5</v>
      </c>
      <c r="E61" s="16">
        <v>321.21668533034716</v>
      </c>
      <c r="F61" s="16">
        <v>279.78331466965284</v>
      </c>
      <c r="G61" s="16">
        <v>7.7894736842105265</v>
      </c>
      <c r="H61" s="16">
        <v>25.448210526315791</v>
      </c>
      <c r="I61" s="16">
        <v>0</v>
      </c>
    </row>
    <row r="62" spans="1:24">
      <c r="A62" s="8">
        <v>25</v>
      </c>
      <c r="B62" s="8">
        <v>314</v>
      </c>
      <c r="C62" s="8">
        <f t="shared" si="2"/>
        <v>18</v>
      </c>
      <c r="D62" s="16">
        <v>300.5</v>
      </c>
      <c r="E62" s="16">
        <v>321.21668533034716</v>
      </c>
      <c r="F62" s="16">
        <v>279.78331466965284</v>
      </c>
      <c r="G62" s="16">
        <v>7.7894736842105265</v>
      </c>
      <c r="H62" s="16">
        <v>25.448210526315791</v>
      </c>
      <c r="I62" s="16">
        <v>0</v>
      </c>
    </row>
    <row r="63" spans="1:24">
      <c r="A63" s="8">
        <v>26</v>
      </c>
      <c r="B63" s="8">
        <v>295</v>
      </c>
      <c r="C63" s="8">
        <f t="shared" si="2"/>
        <v>19</v>
      </c>
      <c r="D63" s="16">
        <v>300.5</v>
      </c>
      <c r="E63" s="16">
        <v>321.21668533034716</v>
      </c>
      <c r="F63" s="16">
        <v>279.78331466965284</v>
      </c>
      <c r="G63" s="16">
        <v>7.7894736842105265</v>
      </c>
      <c r="H63" s="16">
        <v>25.448210526315791</v>
      </c>
      <c r="I63" s="16">
        <v>0</v>
      </c>
    </row>
    <row r="64" spans="1:24">
      <c r="A64" s="8">
        <v>27</v>
      </c>
      <c r="B64" s="8">
        <v>287</v>
      </c>
      <c r="C64" s="8">
        <f t="shared" si="2"/>
        <v>8</v>
      </c>
      <c r="D64" s="16">
        <v>300.5</v>
      </c>
      <c r="E64" s="16">
        <v>321.21668533034716</v>
      </c>
      <c r="F64" s="16">
        <v>279.78331466965284</v>
      </c>
      <c r="G64" s="16">
        <v>7.7894736842105265</v>
      </c>
      <c r="H64" s="16">
        <v>25.448210526315791</v>
      </c>
      <c r="I64" s="16">
        <v>0</v>
      </c>
    </row>
    <row r="65" spans="1:24">
      <c r="A65" s="8">
        <v>28</v>
      </c>
      <c r="B65" s="8">
        <v>301</v>
      </c>
      <c r="C65" s="8">
        <f t="shared" si="2"/>
        <v>14</v>
      </c>
      <c r="D65" s="16">
        <v>300.5</v>
      </c>
      <c r="E65" s="16">
        <v>321.21668533034716</v>
      </c>
      <c r="F65" s="16">
        <v>279.78331466965284</v>
      </c>
      <c r="G65" s="16">
        <v>7.7894736842105265</v>
      </c>
      <c r="H65" s="16">
        <v>25.448210526315791</v>
      </c>
      <c r="I65" s="16">
        <v>0</v>
      </c>
    </row>
    <row r="66" spans="1:24">
      <c r="A66" s="8">
        <v>29</v>
      </c>
      <c r="B66" s="8">
        <v>298</v>
      </c>
      <c r="C66" s="8">
        <f t="shared" si="2"/>
        <v>3</v>
      </c>
      <c r="D66" s="16">
        <v>300.5</v>
      </c>
      <c r="E66" s="16">
        <v>321.21668533034716</v>
      </c>
      <c r="F66" s="16">
        <v>279.78331466965284</v>
      </c>
      <c r="G66" s="16">
        <v>7.7894736842105265</v>
      </c>
      <c r="H66" s="16">
        <v>25.448210526315791</v>
      </c>
      <c r="I66" s="16">
        <v>0</v>
      </c>
    </row>
    <row r="67" spans="1:24">
      <c r="A67" s="8">
        <v>30</v>
      </c>
      <c r="B67" s="8">
        <v>311</v>
      </c>
      <c r="C67" s="8">
        <f t="shared" si="2"/>
        <v>13</v>
      </c>
      <c r="D67" s="16">
        <v>300.5</v>
      </c>
      <c r="E67" s="16">
        <v>321.21668533034716</v>
      </c>
      <c r="F67" s="16">
        <v>279.78331466965284</v>
      </c>
      <c r="G67" s="16">
        <v>7.7894736842105265</v>
      </c>
      <c r="H67" s="16">
        <v>25.448210526315791</v>
      </c>
      <c r="I67" s="16">
        <v>0</v>
      </c>
    </row>
    <row r="68" spans="1:24">
      <c r="A68" s="8">
        <v>31</v>
      </c>
      <c r="B68" s="8">
        <v>310</v>
      </c>
      <c r="C68" s="8">
        <f t="shared" si="2"/>
        <v>1</v>
      </c>
      <c r="D68" s="16">
        <v>300.5</v>
      </c>
      <c r="E68" s="16">
        <v>321.21668533034716</v>
      </c>
      <c r="F68" s="16">
        <v>279.78331466965284</v>
      </c>
      <c r="G68" s="16">
        <v>7.7894736842105265</v>
      </c>
      <c r="H68" s="16">
        <v>25.448210526315791</v>
      </c>
      <c r="I68" s="16">
        <v>0</v>
      </c>
    </row>
    <row r="69" spans="1:24">
      <c r="A69" s="8">
        <v>32</v>
      </c>
      <c r="B69" s="8">
        <v>292</v>
      </c>
      <c r="C69" s="8">
        <f t="shared" si="2"/>
        <v>18</v>
      </c>
      <c r="D69" s="16">
        <v>300.5</v>
      </c>
      <c r="E69" s="16">
        <v>321.21668533034716</v>
      </c>
      <c r="F69" s="16">
        <v>279.78331466965284</v>
      </c>
      <c r="G69" s="16">
        <v>7.7894736842105265</v>
      </c>
      <c r="H69" s="16">
        <v>25.448210526315791</v>
      </c>
      <c r="I69" s="16">
        <v>0</v>
      </c>
    </row>
    <row r="70" spans="1:24">
      <c r="A70" s="8">
        <v>33</v>
      </c>
      <c r="B70" s="8">
        <v>305</v>
      </c>
      <c r="C70" s="8">
        <f t="shared" si="2"/>
        <v>13</v>
      </c>
      <c r="D70" s="16">
        <v>300.5</v>
      </c>
      <c r="E70" s="16">
        <v>321.21668533034716</v>
      </c>
      <c r="F70" s="16">
        <v>279.78331466965284</v>
      </c>
      <c r="G70" s="16">
        <v>7.7894736842105265</v>
      </c>
      <c r="H70" s="16">
        <v>25.448210526315791</v>
      </c>
      <c r="I70" s="16">
        <v>0</v>
      </c>
    </row>
    <row r="71" spans="1:24">
      <c r="A71" s="8">
        <v>34</v>
      </c>
      <c r="B71" s="8">
        <v>299</v>
      </c>
      <c r="C71" s="8">
        <f t="shared" si="2"/>
        <v>6</v>
      </c>
      <c r="D71" s="16">
        <v>300.5</v>
      </c>
      <c r="E71" s="16">
        <v>321.21668533034716</v>
      </c>
      <c r="F71" s="16">
        <v>279.78331466965284</v>
      </c>
      <c r="G71" s="16">
        <v>7.7894736842105265</v>
      </c>
      <c r="H71" s="16">
        <v>25.448210526315791</v>
      </c>
      <c r="I71" s="16">
        <v>0</v>
      </c>
    </row>
    <row r="72" spans="1:24">
      <c r="A72" s="8">
        <v>35</v>
      </c>
      <c r="B72" s="8">
        <v>304</v>
      </c>
      <c r="C72" s="8">
        <f t="shared" si="2"/>
        <v>5</v>
      </c>
      <c r="D72" s="16">
        <v>300.5</v>
      </c>
      <c r="E72" s="16">
        <v>321.21668533034716</v>
      </c>
      <c r="F72" s="16">
        <v>279.78331466965284</v>
      </c>
      <c r="G72" s="16">
        <v>7.7894736842105265</v>
      </c>
      <c r="H72" s="16">
        <v>25.448210526315791</v>
      </c>
      <c r="I72" s="16">
        <v>0</v>
      </c>
    </row>
    <row r="73" spans="1:24">
      <c r="A73" s="8">
        <v>36</v>
      </c>
      <c r="B73" s="8">
        <v>310</v>
      </c>
      <c r="C73" s="8">
        <f t="shared" si="2"/>
        <v>6</v>
      </c>
      <c r="D73" s="16">
        <v>300.5</v>
      </c>
      <c r="E73" s="16">
        <v>321.21668533034716</v>
      </c>
      <c r="F73" s="16">
        <v>279.78331466965284</v>
      </c>
      <c r="G73" s="16">
        <v>7.7894736842105265</v>
      </c>
      <c r="H73" s="16">
        <v>25.448210526315791</v>
      </c>
      <c r="I73" s="16">
        <v>0</v>
      </c>
      <c r="X73" t="s">
        <v>52</v>
      </c>
    </row>
    <row r="74" spans="1:24">
      <c r="A74" s="8">
        <v>37</v>
      </c>
      <c r="B74" s="8">
        <v>304</v>
      </c>
      <c r="C74" s="8">
        <f t="shared" si="2"/>
        <v>6</v>
      </c>
      <c r="D74" s="16">
        <v>300.5</v>
      </c>
      <c r="E74" s="16">
        <v>321.21668533034716</v>
      </c>
      <c r="F74" s="16">
        <v>279.78331466965284</v>
      </c>
      <c r="G74" s="16">
        <v>7.7894736842105265</v>
      </c>
      <c r="H74" s="16">
        <v>25.448210526315791</v>
      </c>
      <c r="I74" s="16">
        <v>0</v>
      </c>
    </row>
    <row r="75" spans="1:24">
      <c r="A75" s="8">
        <v>38</v>
      </c>
      <c r="B75" s="8">
        <v>305</v>
      </c>
      <c r="C75" s="8">
        <f t="shared" si="2"/>
        <v>1</v>
      </c>
      <c r="D75" s="16">
        <v>300.5</v>
      </c>
      <c r="E75" s="16">
        <v>321.21668533034716</v>
      </c>
      <c r="F75" s="16">
        <v>279.78331466965284</v>
      </c>
      <c r="G75" s="16">
        <v>7.7894736842105265</v>
      </c>
      <c r="H75" s="16">
        <v>25.448210526315791</v>
      </c>
      <c r="I75" s="16">
        <v>0</v>
      </c>
    </row>
    <row r="76" spans="1:24">
      <c r="A76" s="8">
        <v>39</v>
      </c>
      <c r="B76" s="8">
        <v>333</v>
      </c>
      <c r="C76" s="8">
        <f t="shared" si="2"/>
        <v>28</v>
      </c>
      <c r="D76" s="16">
        <v>300.5</v>
      </c>
      <c r="E76" s="16">
        <v>321.21668533034716</v>
      </c>
      <c r="F76" s="16">
        <v>279.78331466965284</v>
      </c>
      <c r="G76" s="16">
        <v>7.7894736842105265</v>
      </c>
      <c r="H76" s="16">
        <v>25.448210526315791</v>
      </c>
      <c r="I76" s="16">
        <v>0</v>
      </c>
    </row>
    <row r="77" spans="1:24">
      <c r="A77" s="8">
        <v>40</v>
      </c>
      <c r="B77" s="8">
        <v>328</v>
      </c>
      <c r="C77" s="8">
        <f t="shared" si="2"/>
        <v>5</v>
      </c>
      <c r="D77" s="16">
        <v>300.5</v>
      </c>
      <c r="E77" s="16">
        <v>321.21668533034716</v>
      </c>
      <c r="F77" s="16">
        <v>279.78331466965284</v>
      </c>
      <c r="G77" s="16">
        <v>7.7894736842105265</v>
      </c>
      <c r="H77" s="16">
        <v>25.448210526315791</v>
      </c>
      <c r="I77" s="16">
        <v>0</v>
      </c>
    </row>
  </sheetData>
  <mergeCells count="2">
    <mergeCell ref="D56:F56"/>
    <mergeCell ref="G56:I5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A8E1-EBB0-4D6B-905D-0D0B8FE524CC}">
  <dimension ref="A1:C103"/>
  <sheetViews>
    <sheetView zoomScale="85" zoomScaleNormal="85" workbookViewId="0">
      <selection activeCell="B2" sqref="B2:B31"/>
    </sheetView>
  </sheetViews>
  <sheetFormatPr defaultRowHeight="14.4"/>
  <cols>
    <col min="1" max="3" width="19.109375" customWidth="1"/>
  </cols>
  <sheetData>
    <row r="1" spans="1:3" ht="42" thickBot="1">
      <c r="A1" s="19" t="s">
        <v>53</v>
      </c>
      <c r="B1" s="19" t="s">
        <v>54</v>
      </c>
      <c r="C1" s="20" t="s">
        <v>55</v>
      </c>
    </row>
    <row r="2" spans="1:3" ht="15" thickBot="1">
      <c r="A2" s="21">
        <v>1</v>
      </c>
      <c r="B2" s="21">
        <v>12</v>
      </c>
      <c r="C2" s="22">
        <v>0.24</v>
      </c>
    </row>
    <row r="3" spans="1:3" ht="15" thickBot="1">
      <c r="A3" s="21">
        <v>2</v>
      </c>
      <c r="B3" s="21">
        <v>15</v>
      </c>
      <c r="C3" s="22">
        <v>0.3</v>
      </c>
    </row>
    <row r="4" spans="1:3" ht="15" thickBot="1">
      <c r="A4" s="21">
        <v>3</v>
      </c>
      <c r="B4" s="21">
        <v>8</v>
      </c>
      <c r="C4" s="22">
        <v>0.16</v>
      </c>
    </row>
    <row r="5" spans="1:3" ht="15" thickBot="1">
      <c r="A5" s="21">
        <v>4</v>
      </c>
      <c r="B5" s="21">
        <v>10</v>
      </c>
      <c r="C5" s="22">
        <v>0.2</v>
      </c>
    </row>
    <row r="6" spans="1:3" ht="15" thickBot="1">
      <c r="A6" s="21">
        <v>5</v>
      </c>
      <c r="B6" s="21">
        <v>4</v>
      </c>
      <c r="C6" s="22">
        <v>0.08</v>
      </c>
    </row>
    <row r="7" spans="1:3" ht="15" thickBot="1">
      <c r="A7" s="21">
        <v>6</v>
      </c>
      <c r="B7" s="21">
        <v>7</v>
      </c>
      <c r="C7" s="22">
        <v>0.14000000000000001</v>
      </c>
    </row>
    <row r="8" spans="1:3" ht="15" thickBot="1">
      <c r="A8" s="21">
        <v>7</v>
      </c>
      <c r="B8" s="21">
        <v>16</v>
      </c>
      <c r="C8" s="22">
        <v>0.32</v>
      </c>
    </row>
    <row r="9" spans="1:3" ht="15" thickBot="1">
      <c r="A9" s="21">
        <v>8</v>
      </c>
      <c r="B9" s="21">
        <v>9</v>
      </c>
      <c r="C9" s="22">
        <v>0.18</v>
      </c>
    </row>
    <row r="10" spans="1:3" ht="15" thickBot="1">
      <c r="A10" s="21">
        <v>9</v>
      </c>
      <c r="B10" s="21">
        <v>14</v>
      </c>
      <c r="C10" s="22">
        <v>0.28000000000000003</v>
      </c>
    </row>
    <row r="11" spans="1:3" ht="15" thickBot="1">
      <c r="A11" s="21">
        <v>10</v>
      </c>
      <c r="B11" s="21">
        <v>10</v>
      </c>
      <c r="C11" s="22">
        <v>0.2</v>
      </c>
    </row>
    <row r="12" spans="1:3" ht="15" thickBot="1">
      <c r="A12" s="21">
        <v>11</v>
      </c>
      <c r="B12" s="21">
        <v>5</v>
      </c>
      <c r="C12" s="22">
        <v>0.1</v>
      </c>
    </row>
    <row r="13" spans="1:3" ht="15" thickBot="1">
      <c r="A13" s="21">
        <v>12</v>
      </c>
      <c r="B13" s="21">
        <v>6</v>
      </c>
      <c r="C13" s="22">
        <v>0.12</v>
      </c>
    </row>
    <row r="14" spans="1:3" ht="15" thickBot="1">
      <c r="A14" s="21">
        <v>13</v>
      </c>
      <c r="B14" s="21">
        <v>17</v>
      </c>
      <c r="C14" s="22">
        <v>0.34</v>
      </c>
    </row>
    <row r="15" spans="1:3" ht="15" thickBot="1">
      <c r="A15" s="21">
        <v>14</v>
      </c>
      <c r="B15" s="21">
        <v>12</v>
      </c>
      <c r="C15" s="22">
        <v>0.24</v>
      </c>
    </row>
    <row r="16" spans="1:3" ht="15" thickBot="1">
      <c r="A16" s="21">
        <v>15</v>
      </c>
      <c r="B16" s="21">
        <v>22</v>
      </c>
      <c r="C16" s="22">
        <v>0.44</v>
      </c>
    </row>
    <row r="17" spans="1:3" ht="15" thickBot="1">
      <c r="A17" s="21">
        <v>16</v>
      </c>
      <c r="B17" s="21">
        <v>8</v>
      </c>
      <c r="C17" s="22">
        <v>0.16</v>
      </c>
    </row>
    <row r="18" spans="1:3" ht="15" thickBot="1">
      <c r="A18" s="21">
        <v>17</v>
      </c>
      <c r="B18" s="21">
        <v>10</v>
      </c>
      <c r="C18" s="22">
        <v>0.2</v>
      </c>
    </row>
    <row r="19" spans="1:3" ht="15" thickBot="1">
      <c r="A19" s="21">
        <v>18</v>
      </c>
      <c r="B19" s="21">
        <v>5</v>
      </c>
      <c r="C19" s="22">
        <v>0.1</v>
      </c>
    </row>
    <row r="20" spans="1:3" ht="15" thickBot="1">
      <c r="A20" s="21">
        <v>19</v>
      </c>
      <c r="B20" s="21">
        <v>13</v>
      </c>
      <c r="C20" s="22">
        <v>0.26</v>
      </c>
    </row>
    <row r="21" spans="1:3" ht="15" thickBot="1">
      <c r="A21" s="21">
        <v>20</v>
      </c>
      <c r="B21" s="21">
        <v>11</v>
      </c>
      <c r="C21" s="22">
        <v>0.22</v>
      </c>
    </row>
    <row r="22" spans="1:3" ht="15" thickBot="1">
      <c r="A22" s="21">
        <v>21</v>
      </c>
      <c r="B22" s="21">
        <v>20</v>
      </c>
      <c r="C22" s="22">
        <v>0.4</v>
      </c>
    </row>
    <row r="23" spans="1:3" ht="15" thickBot="1">
      <c r="A23" s="21">
        <v>22</v>
      </c>
      <c r="B23" s="21">
        <v>18</v>
      </c>
      <c r="C23" s="22">
        <v>0.36</v>
      </c>
    </row>
    <row r="24" spans="1:3" ht="15" thickBot="1">
      <c r="A24" s="21">
        <v>23</v>
      </c>
      <c r="B24" s="21">
        <v>24</v>
      </c>
      <c r="C24" s="22">
        <v>0.48</v>
      </c>
    </row>
    <row r="25" spans="1:3" ht="15" thickBot="1">
      <c r="A25" s="21">
        <v>24</v>
      </c>
      <c r="B25" s="21">
        <v>15</v>
      </c>
      <c r="C25" s="22">
        <v>0.3</v>
      </c>
    </row>
    <row r="26" spans="1:3" ht="15" thickBot="1">
      <c r="A26" s="21">
        <v>25</v>
      </c>
      <c r="B26" s="21">
        <v>9</v>
      </c>
      <c r="C26" s="22">
        <v>0.18</v>
      </c>
    </row>
    <row r="27" spans="1:3" ht="15" thickBot="1">
      <c r="A27" s="21">
        <v>26</v>
      </c>
      <c r="B27" s="21">
        <v>12</v>
      </c>
      <c r="C27" s="22">
        <v>0.24</v>
      </c>
    </row>
    <row r="28" spans="1:3" ht="15" thickBot="1">
      <c r="A28" s="21">
        <v>27</v>
      </c>
      <c r="B28" s="21">
        <v>7</v>
      </c>
      <c r="C28" s="22">
        <v>0.14000000000000001</v>
      </c>
    </row>
    <row r="29" spans="1:3" ht="15" thickBot="1">
      <c r="A29" s="21">
        <v>28</v>
      </c>
      <c r="B29" s="21">
        <v>13</v>
      </c>
      <c r="C29" s="22">
        <v>0.26</v>
      </c>
    </row>
    <row r="30" spans="1:3" ht="15" thickBot="1">
      <c r="A30" s="21">
        <v>29</v>
      </c>
      <c r="B30" s="21">
        <v>9</v>
      </c>
      <c r="C30" s="22">
        <v>0.18</v>
      </c>
    </row>
    <row r="31" spans="1:3" ht="15" thickBot="1">
      <c r="A31" s="21">
        <v>30</v>
      </c>
      <c r="B31" s="21">
        <v>6</v>
      </c>
      <c r="C31" s="22">
        <v>0.12</v>
      </c>
    </row>
    <row r="32" spans="1:3" ht="42" thickBot="1">
      <c r="A32" s="19" t="s">
        <v>56</v>
      </c>
      <c r="B32" s="19">
        <f>SUM(B2:B31)</f>
        <v>347</v>
      </c>
      <c r="C32" s="20">
        <f>AVERAGE(C2:C31)</f>
        <v>0.23133333333333334</v>
      </c>
    </row>
    <row r="34" spans="1:3" ht="15" thickBot="1"/>
    <row r="35" spans="1:3" ht="42" thickBot="1">
      <c r="A35" s="19" t="s">
        <v>53</v>
      </c>
      <c r="B35" s="19" t="s">
        <v>54</v>
      </c>
      <c r="C35" s="20" t="s">
        <v>57</v>
      </c>
    </row>
    <row r="36" spans="1:3" ht="15" thickBot="1">
      <c r="A36" s="21">
        <v>31</v>
      </c>
      <c r="B36" s="21">
        <v>9</v>
      </c>
      <c r="C36" s="22">
        <v>0.18</v>
      </c>
    </row>
    <row r="37" spans="1:3" ht="15" thickBot="1">
      <c r="A37" s="21">
        <v>32</v>
      </c>
      <c r="B37" s="21">
        <v>6</v>
      </c>
      <c r="C37" s="22">
        <v>0.12</v>
      </c>
    </row>
    <row r="38" spans="1:3" ht="15" thickBot="1">
      <c r="A38" s="21">
        <v>33</v>
      </c>
      <c r="B38" s="21">
        <v>12</v>
      </c>
      <c r="C38" s="22">
        <v>0.24</v>
      </c>
    </row>
    <row r="39" spans="1:3" ht="15" thickBot="1">
      <c r="A39" s="21">
        <v>34</v>
      </c>
      <c r="B39" s="21">
        <v>5</v>
      </c>
      <c r="C39" s="22">
        <v>0.1</v>
      </c>
    </row>
    <row r="40" spans="1:3" ht="15" thickBot="1">
      <c r="A40" s="21">
        <v>35</v>
      </c>
      <c r="B40" s="21">
        <v>6</v>
      </c>
      <c r="C40" s="22">
        <v>0.12</v>
      </c>
    </row>
    <row r="41" spans="1:3" ht="15" thickBot="1">
      <c r="A41" s="21">
        <v>36</v>
      </c>
      <c r="B41" s="21">
        <v>4</v>
      </c>
      <c r="C41" s="22">
        <v>0.08</v>
      </c>
    </row>
    <row r="42" spans="1:3" ht="15" thickBot="1">
      <c r="A42" s="21">
        <v>37</v>
      </c>
      <c r="B42" s="21">
        <v>6</v>
      </c>
      <c r="C42" s="22">
        <v>0.12</v>
      </c>
    </row>
    <row r="43" spans="1:3" ht="15" thickBot="1">
      <c r="A43" s="21">
        <v>38</v>
      </c>
      <c r="B43" s="21">
        <v>3</v>
      </c>
      <c r="C43" s="22">
        <v>0.06</v>
      </c>
    </row>
    <row r="44" spans="1:3" ht="15" thickBot="1">
      <c r="A44" s="21">
        <v>39</v>
      </c>
      <c r="B44" s="21">
        <v>7</v>
      </c>
      <c r="C44" s="22">
        <v>0.14000000000000001</v>
      </c>
    </row>
    <row r="45" spans="1:3" ht="15" thickBot="1">
      <c r="A45" s="21">
        <v>40</v>
      </c>
      <c r="B45" s="21">
        <v>6</v>
      </c>
      <c r="C45" s="22">
        <v>0.12</v>
      </c>
    </row>
    <row r="46" spans="1:3" ht="15" thickBot="1">
      <c r="A46" s="21">
        <v>41</v>
      </c>
      <c r="B46" s="21">
        <v>2</v>
      </c>
      <c r="C46" s="22">
        <v>0.04</v>
      </c>
    </row>
    <row r="47" spans="1:3" ht="15" thickBot="1">
      <c r="A47" s="21">
        <v>42</v>
      </c>
      <c r="B47" s="21">
        <v>4</v>
      </c>
      <c r="C47" s="22">
        <v>0.08</v>
      </c>
    </row>
    <row r="48" spans="1:3" ht="15" thickBot="1">
      <c r="A48" s="21">
        <v>43</v>
      </c>
      <c r="B48" s="21">
        <v>3</v>
      </c>
      <c r="C48" s="22">
        <v>0.06</v>
      </c>
    </row>
    <row r="49" spans="1:3" ht="15" thickBot="1">
      <c r="A49" s="21">
        <v>44</v>
      </c>
      <c r="B49" s="21">
        <v>6</v>
      </c>
      <c r="C49" s="22">
        <v>0.12</v>
      </c>
    </row>
    <row r="50" spans="1:3" ht="15" thickBot="1">
      <c r="A50" s="21">
        <v>45</v>
      </c>
      <c r="B50" s="21">
        <v>5</v>
      </c>
      <c r="C50" s="22">
        <v>0.1</v>
      </c>
    </row>
    <row r="51" spans="1:3" ht="15" thickBot="1">
      <c r="A51" s="21">
        <v>46</v>
      </c>
      <c r="B51" s="21">
        <v>4</v>
      </c>
      <c r="C51" s="22">
        <v>0.08</v>
      </c>
    </row>
    <row r="52" spans="1:3" ht="15" thickBot="1">
      <c r="A52" s="21">
        <v>47</v>
      </c>
      <c r="B52" s="21">
        <v>8</v>
      </c>
      <c r="C52" s="22">
        <v>0.16</v>
      </c>
    </row>
    <row r="53" spans="1:3" ht="15" thickBot="1">
      <c r="A53" s="21">
        <v>48</v>
      </c>
      <c r="B53" s="21">
        <v>5</v>
      </c>
      <c r="C53" s="22">
        <v>0.1</v>
      </c>
    </row>
    <row r="54" spans="1:3" ht="15" thickBot="1">
      <c r="A54" s="21">
        <v>49</v>
      </c>
      <c r="B54" s="21">
        <v>6</v>
      </c>
      <c r="C54" s="22">
        <v>0.12</v>
      </c>
    </row>
    <row r="55" spans="1:3" ht="15" thickBot="1">
      <c r="A55" s="21">
        <v>50</v>
      </c>
      <c r="B55" s="21">
        <v>7</v>
      </c>
      <c r="C55" s="22">
        <v>0.14000000000000001</v>
      </c>
    </row>
    <row r="56" spans="1:3" ht="15" thickBot="1">
      <c r="A56" s="21">
        <v>51</v>
      </c>
      <c r="B56" s="21">
        <v>5</v>
      </c>
      <c r="C56" s="22">
        <v>0.1</v>
      </c>
    </row>
    <row r="57" spans="1:3" ht="15" thickBot="1">
      <c r="A57" s="21">
        <v>52</v>
      </c>
      <c r="B57" s="21">
        <v>6</v>
      </c>
      <c r="C57" s="22">
        <v>0.12</v>
      </c>
    </row>
    <row r="58" spans="1:3" ht="15" thickBot="1">
      <c r="A58" s="21">
        <v>53</v>
      </c>
      <c r="B58" s="21">
        <v>3</v>
      </c>
      <c r="C58" s="22">
        <v>0.06</v>
      </c>
    </row>
    <row r="59" spans="1:3" ht="15" thickBot="1">
      <c r="A59" s="21">
        <v>54</v>
      </c>
      <c r="B59" s="21">
        <v>5</v>
      </c>
      <c r="C59" s="22">
        <v>0.1</v>
      </c>
    </row>
    <row r="60" spans="1:3" ht="15" thickBot="1">
      <c r="A60" s="19" t="s">
        <v>56</v>
      </c>
      <c r="B60" s="19">
        <f>SUM(B36:B59)</f>
        <v>133</v>
      </c>
      <c r="C60" s="20">
        <f>AVERAGE(C36:C59)</f>
        <v>0.11083333333333338</v>
      </c>
    </row>
    <row r="62" spans="1:3" ht="15" thickBot="1"/>
    <row r="63" spans="1:3" ht="42" thickBot="1">
      <c r="A63" s="19" t="s">
        <v>53</v>
      </c>
      <c r="B63" s="19" t="s">
        <v>54</v>
      </c>
      <c r="C63" s="20" t="s">
        <v>55</v>
      </c>
    </row>
    <row r="64" spans="1:3" ht="15" thickBot="1">
      <c r="A64" s="21">
        <v>55</v>
      </c>
      <c r="B64" s="21">
        <v>8</v>
      </c>
      <c r="C64" s="22">
        <v>0.16</v>
      </c>
    </row>
    <row r="65" spans="1:3" ht="15" thickBot="1">
      <c r="A65" s="21">
        <v>56</v>
      </c>
      <c r="B65" s="21">
        <v>7</v>
      </c>
      <c r="C65" s="22">
        <v>0.14000000000000001</v>
      </c>
    </row>
    <row r="66" spans="1:3" ht="15" thickBot="1">
      <c r="A66" s="21">
        <v>57</v>
      </c>
      <c r="B66" s="21">
        <v>5</v>
      </c>
      <c r="C66" s="22">
        <v>0.1</v>
      </c>
    </row>
    <row r="67" spans="1:3" ht="15" thickBot="1">
      <c r="A67" s="21">
        <v>58</v>
      </c>
      <c r="B67" s="21">
        <v>6</v>
      </c>
      <c r="C67" s="22">
        <v>0.12</v>
      </c>
    </row>
    <row r="68" spans="1:3" ht="15" thickBot="1">
      <c r="A68" s="21">
        <v>59</v>
      </c>
      <c r="B68" s="21">
        <v>4</v>
      </c>
      <c r="C68" s="22">
        <v>0.08</v>
      </c>
    </row>
    <row r="69" spans="1:3" ht="15" thickBot="1">
      <c r="A69" s="21">
        <v>60</v>
      </c>
      <c r="B69" s="21">
        <v>5</v>
      </c>
      <c r="C69" s="22">
        <v>0.1</v>
      </c>
    </row>
    <row r="70" spans="1:3" ht="15" thickBot="1">
      <c r="A70" s="21">
        <v>61</v>
      </c>
      <c r="B70" s="21">
        <v>2</v>
      </c>
      <c r="C70" s="22">
        <v>0.04</v>
      </c>
    </row>
    <row r="71" spans="1:3" ht="15" thickBot="1">
      <c r="A71" s="21">
        <v>62</v>
      </c>
      <c r="B71" s="21">
        <v>3</v>
      </c>
      <c r="C71" s="22">
        <v>0.06</v>
      </c>
    </row>
    <row r="72" spans="1:3" ht="15" thickBot="1">
      <c r="A72" s="21">
        <v>63</v>
      </c>
      <c r="B72" s="21">
        <v>4</v>
      </c>
      <c r="C72" s="22">
        <v>0.08</v>
      </c>
    </row>
    <row r="73" spans="1:3" ht="15" thickBot="1">
      <c r="A73" s="21">
        <v>64</v>
      </c>
      <c r="B73" s="21">
        <v>7</v>
      </c>
      <c r="C73" s="22">
        <v>0.14000000000000001</v>
      </c>
    </row>
    <row r="74" spans="1:3" ht="15" thickBot="1">
      <c r="A74" s="21">
        <v>65</v>
      </c>
      <c r="B74" s="21">
        <v>6</v>
      </c>
      <c r="C74" s="22">
        <v>0.12</v>
      </c>
    </row>
    <row r="75" spans="1:3" ht="15" thickBot="1">
      <c r="A75" s="21">
        <v>66</v>
      </c>
      <c r="B75" s="21">
        <v>5</v>
      </c>
      <c r="C75" s="22">
        <v>0.1</v>
      </c>
    </row>
    <row r="76" spans="1:3" ht="15" thickBot="1">
      <c r="A76" s="21">
        <v>67</v>
      </c>
      <c r="B76" s="21">
        <v>5</v>
      </c>
      <c r="C76" s="22">
        <v>0.1</v>
      </c>
    </row>
    <row r="77" spans="1:3" ht="15" thickBot="1">
      <c r="A77" s="21">
        <v>68</v>
      </c>
      <c r="B77" s="21">
        <v>3</v>
      </c>
      <c r="C77" s="22">
        <v>0.06</v>
      </c>
    </row>
    <row r="78" spans="1:3" ht="15" thickBot="1">
      <c r="A78" s="21">
        <v>69</v>
      </c>
      <c r="B78" s="21">
        <v>7</v>
      </c>
      <c r="C78" s="22">
        <v>0.14000000000000001</v>
      </c>
    </row>
    <row r="79" spans="1:3" ht="15" thickBot="1">
      <c r="A79" s="21">
        <v>70</v>
      </c>
      <c r="B79" s="21">
        <v>9</v>
      </c>
      <c r="C79" s="22">
        <v>0.18</v>
      </c>
    </row>
    <row r="80" spans="1:3" ht="15" thickBot="1">
      <c r="A80" s="21">
        <v>71</v>
      </c>
      <c r="B80" s="21">
        <v>6</v>
      </c>
      <c r="C80" s="22">
        <v>0.12</v>
      </c>
    </row>
    <row r="81" spans="1:3" ht="15" thickBot="1">
      <c r="A81" s="21">
        <v>72</v>
      </c>
      <c r="B81" s="21">
        <v>10</v>
      </c>
      <c r="C81" s="22">
        <v>0.2</v>
      </c>
    </row>
    <row r="82" spans="1:3" ht="15" thickBot="1">
      <c r="A82" s="21">
        <v>73</v>
      </c>
      <c r="B82" s="21">
        <v>4</v>
      </c>
      <c r="C82" s="22">
        <v>0.08</v>
      </c>
    </row>
    <row r="83" spans="1:3" ht="15" thickBot="1">
      <c r="A83" s="21">
        <v>74</v>
      </c>
      <c r="B83" s="21">
        <v>3</v>
      </c>
      <c r="C83" s="22">
        <v>0.06</v>
      </c>
    </row>
    <row r="84" spans="1:3" ht="15" thickBot="1">
      <c r="A84" s="21">
        <v>75</v>
      </c>
      <c r="B84" s="21">
        <v>5</v>
      </c>
      <c r="C84" s="22">
        <v>0.1</v>
      </c>
    </row>
    <row r="85" spans="1:3" ht="15" thickBot="1">
      <c r="A85" s="21">
        <v>76</v>
      </c>
      <c r="B85" s="21">
        <v>8</v>
      </c>
      <c r="C85" s="22">
        <v>0.16</v>
      </c>
    </row>
    <row r="86" spans="1:3" ht="15" thickBot="1">
      <c r="A86" s="21">
        <v>77</v>
      </c>
      <c r="B86" s="21">
        <v>11</v>
      </c>
      <c r="C86" s="22">
        <v>0.22</v>
      </c>
    </row>
    <row r="87" spans="1:3" ht="15" thickBot="1">
      <c r="A87" s="21">
        <v>78</v>
      </c>
      <c r="B87" s="21">
        <v>9</v>
      </c>
      <c r="C87" s="22">
        <v>0.18</v>
      </c>
    </row>
    <row r="88" spans="1:3" ht="15" thickBot="1">
      <c r="A88" s="21">
        <v>79</v>
      </c>
      <c r="B88" s="21">
        <v>7</v>
      </c>
      <c r="C88" s="22">
        <v>0.14000000000000001</v>
      </c>
    </row>
    <row r="89" spans="1:3" ht="15" thickBot="1">
      <c r="A89" s="21">
        <v>80</v>
      </c>
      <c r="B89" s="21">
        <v>3</v>
      </c>
      <c r="C89" s="22">
        <v>0.06</v>
      </c>
    </row>
    <row r="90" spans="1:3" ht="15" thickBot="1">
      <c r="A90" s="21">
        <v>81</v>
      </c>
      <c r="B90" s="21">
        <v>5</v>
      </c>
      <c r="C90" s="22">
        <v>0.1</v>
      </c>
    </row>
    <row r="91" spans="1:3" ht="15" thickBot="1">
      <c r="A91" s="21">
        <v>82</v>
      </c>
      <c r="B91" s="21">
        <v>2</v>
      </c>
      <c r="C91" s="22">
        <v>0.04</v>
      </c>
    </row>
    <row r="92" spans="1:3" ht="15" thickBot="1">
      <c r="A92" s="21">
        <v>83</v>
      </c>
      <c r="B92" s="21">
        <v>1</v>
      </c>
      <c r="C92" s="22">
        <v>0.02</v>
      </c>
    </row>
    <row r="93" spans="1:3" ht="15" thickBot="1">
      <c r="A93" s="21">
        <v>84</v>
      </c>
      <c r="B93" s="21">
        <v>4</v>
      </c>
      <c r="C93" s="22">
        <v>0.08</v>
      </c>
    </row>
    <row r="94" spans="1:3" ht="15" thickBot="1">
      <c r="A94" s="21">
        <v>85</v>
      </c>
      <c r="B94" s="21">
        <v>5</v>
      </c>
      <c r="C94" s="22">
        <v>0.1</v>
      </c>
    </row>
    <row r="95" spans="1:3" ht="15" thickBot="1">
      <c r="A95" s="21">
        <v>86</v>
      </c>
      <c r="B95" s="21">
        <v>3</v>
      </c>
      <c r="C95" s="22">
        <v>0.06</v>
      </c>
    </row>
    <row r="96" spans="1:3" ht="15" thickBot="1">
      <c r="A96" s="21">
        <v>87</v>
      </c>
      <c r="B96" s="21">
        <v>7</v>
      </c>
      <c r="C96" s="22">
        <v>0.14000000000000001</v>
      </c>
    </row>
    <row r="97" spans="1:3" ht="15" thickBot="1">
      <c r="A97" s="21">
        <v>88</v>
      </c>
      <c r="B97" s="21">
        <v>6</v>
      </c>
      <c r="C97" s="22">
        <v>0.12</v>
      </c>
    </row>
    <row r="98" spans="1:3" ht="15" thickBot="1">
      <c r="A98" s="21">
        <v>89</v>
      </c>
      <c r="B98" s="21">
        <v>4</v>
      </c>
      <c r="C98" s="22">
        <v>0.08</v>
      </c>
    </row>
    <row r="99" spans="1:3" ht="15" thickBot="1">
      <c r="A99" s="21">
        <v>90</v>
      </c>
      <c r="B99" s="21">
        <v>4</v>
      </c>
      <c r="C99" s="22">
        <v>0.08</v>
      </c>
    </row>
    <row r="100" spans="1:3" ht="15" thickBot="1">
      <c r="A100" s="21">
        <v>91</v>
      </c>
      <c r="B100" s="21">
        <v>6</v>
      </c>
      <c r="C100" s="22">
        <v>0.12</v>
      </c>
    </row>
    <row r="101" spans="1:3" ht="15" thickBot="1">
      <c r="A101" s="21">
        <v>92</v>
      </c>
      <c r="B101" s="21">
        <v>8</v>
      </c>
      <c r="C101" s="22">
        <v>0.16</v>
      </c>
    </row>
    <row r="102" spans="1:3" ht="15" thickBot="1">
      <c r="A102" s="21">
        <v>93</v>
      </c>
      <c r="B102" s="21">
        <v>5</v>
      </c>
      <c r="C102" s="22">
        <v>0.1</v>
      </c>
    </row>
    <row r="103" spans="1:3" ht="15" thickBot="1">
      <c r="A103" s="21">
        <v>94</v>
      </c>
      <c r="B103" s="21">
        <v>6</v>
      </c>
      <c r="C103" s="22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2297-60F2-4440-A161-D86C48A55BF0}">
  <dimension ref="A1:G31"/>
  <sheetViews>
    <sheetView workbookViewId="0">
      <selection activeCell="C26" sqref="C2:C26"/>
    </sheetView>
  </sheetViews>
  <sheetFormatPr defaultRowHeight="14.4"/>
  <cols>
    <col min="1" max="4" width="12.88671875" customWidth="1"/>
    <col min="5" max="5" width="8.5546875" bestFit="1" customWidth="1"/>
  </cols>
  <sheetData>
    <row r="1" spans="1:7" ht="55.8" thickBot="1">
      <c r="A1" s="19" t="s">
        <v>58</v>
      </c>
      <c r="B1" s="19" t="s">
        <v>59</v>
      </c>
      <c r="C1" s="19" t="s">
        <v>60</v>
      </c>
      <c r="D1" s="20" t="s">
        <v>61</v>
      </c>
      <c r="E1" s="26" t="s">
        <v>27</v>
      </c>
      <c r="F1" s="26" t="s">
        <v>36</v>
      </c>
      <c r="G1" s="26" t="s">
        <v>37</v>
      </c>
    </row>
    <row r="2" spans="1:7" ht="15" thickBot="1">
      <c r="A2" s="21">
        <v>1</v>
      </c>
      <c r="B2" s="21">
        <v>100</v>
      </c>
      <c r="C2" s="21">
        <v>12</v>
      </c>
      <c r="D2" s="23">
        <f>C2/B2</f>
        <v>0.12</v>
      </c>
      <c r="E2" s="25">
        <f>SQRT(($D$30*(1-$D$30)/B2))</f>
        <v>2.9352024271484114E-2</v>
      </c>
      <c r="F2" s="25">
        <f>$D$30+(3*E2)</f>
        <v>0.18327728493566448</v>
      </c>
      <c r="G2" s="25">
        <f>$D$30-(3*E2)</f>
        <v>7.165139306759799E-3</v>
      </c>
    </row>
    <row r="3" spans="1:7" ht="15" thickBot="1">
      <c r="A3" s="21">
        <v>2</v>
      </c>
      <c r="B3" s="21">
        <v>80</v>
      </c>
      <c r="C3" s="21">
        <v>8</v>
      </c>
      <c r="D3" s="23">
        <f t="shared" ref="D3:D26" si="0">C3/B3</f>
        <v>0.1</v>
      </c>
      <c r="E3" s="25">
        <f t="shared" ref="E3:E26" si="1">SQRT(($D$30*(1-$D$30)/B3))</f>
        <v>3.2816560774131108E-2</v>
      </c>
      <c r="F3" s="25">
        <f t="shared" ref="F3:F26" si="2">$D$30+(3*E3)</f>
        <v>0.19367089444360547</v>
      </c>
      <c r="G3" s="25">
        <f t="shared" ref="G3:G26" si="3">$D$30-(3*E3)</f>
        <v>-3.22847020118118E-3</v>
      </c>
    </row>
    <row r="4" spans="1:7" ht="15" thickBot="1">
      <c r="A4" s="21">
        <v>3</v>
      </c>
      <c r="B4" s="21">
        <v>80</v>
      </c>
      <c r="C4" s="21">
        <v>6</v>
      </c>
      <c r="D4" s="23">
        <f t="shared" si="0"/>
        <v>7.4999999999999997E-2</v>
      </c>
      <c r="E4" s="25">
        <f t="shared" si="1"/>
        <v>3.2816560774131108E-2</v>
      </c>
      <c r="F4" s="25">
        <f t="shared" si="2"/>
        <v>0.19367089444360547</v>
      </c>
      <c r="G4" s="25">
        <f t="shared" si="3"/>
        <v>-3.22847020118118E-3</v>
      </c>
    </row>
    <row r="5" spans="1:7" ht="15" thickBot="1">
      <c r="A5" s="21">
        <v>4</v>
      </c>
      <c r="B5" s="21">
        <v>100</v>
      </c>
      <c r="C5" s="21">
        <v>9</v>
      </c>
      <c r="D5" s="23">
        <f t="shared" si="0"/>
        <v>0.09</v>
      </c>
      <c r="E5" s="25">
        <f t="shared" si="1"/>
        <v>2.9352024271484114E-2</v>
      </c>
      <c r="F5" s="25">
        <f t="shared" si="2"/>
        <v>0.18327728493566448</v>
      </c>
      <c r="G5" s="25">
        <f t="shared" si="3"/>
        <v>7.165139306759799E-3</v>
      </c>
    </row>
    <row r="6" spans="1:7" ht="15" thickBot="1">
      <c r="A6" s="21">
        <v>5</v>
      </c>
      <c r="B6" s="21">
        <v>110</v>
      </c>
      <c r="C6" s="21">
        <v>10</v>
      </c>
      <c r="D6" s="23">
        <f t="shared" si="0"/>
        <v>9.0909090909090912E-2</v>
      </c>
      <c r="E6" s="25">
        <f t="shared" si="1"/>
        <v>2.7986057061488715E-2</v>
      </c>
      <c r="F6" s="25">
        <f t="shared" si="2"/>
        <v>0.17917938330567829</v>
      </c>
      <c r="G6" s="25">
        <f t="shared" si="3"/>
        <v>1.1263040936745988E-2</v>
      </c>
    </row>
    <row r="7" spans="1:7" ht="15" thickBot="1">
      <c r="A7" s="21">
        <v>6</v>
      </c>
      <c r="B7" s="21">
        <v>110</v>
      </c>
      <c r="C7" s="21">
        <v>12</v>
      </c>
      <c r="D7" s="23">
        <f t="shared" si="0"/>
        <v>0.10909090909090909</v>
      </c>
      <c r="E7" s="25">
        <f t="shared" si="1"/>
        <v>2.7986057061488715E-2</v>
      </c>
      <c r="F7" s="25">
        <f t="shared" si="2"/>
        <v>0.17917938330567829</v>
      </c>
      <c r="G7" s="25">
        <f t="shared" si="3"/>
        <v>1.1263040936745988E-2</v>
      </c>
    </row>
    <row r="8" spans="1:7" ht="15" thickBot="1">
      <c r="A8" s="21">
        <v>7</v>
      </c>
      <c r="B8" s="21">
        <v>100</v>
      </c>
      <c r="C8" s="21">
        <v>11</v>
      </c>
      <c r="D8" s="23">
        <f t="shared" si="0"/>
        <v>0.11</v>
      </c>
      <c r="E8" s="25">
        <f t="shared" si="1"/>
        <v>2.9352024271484114E-2</v>
      </c>
      <c r="F8" s="25">
        <f t="shared" si="2"/>
        <v>0.18327728493566448</v>
      </c>
      <c r="G8" s="25">
        <f t="shared" si="3"/>
        <v>7.165139306759799E-3</v>
      </c>
    </row>
    <row r="9" spans="1:7" ht="15" thickBot="1">
      <c r="A9" s="21">
        <v>8</v>
      </c>
      <c r="B9" s="21">
        <v>100</v>
      </c>
      <c r="C9" s="21">
        <v>16</v>
      </c>
      <c r="D9" s="23">
        <f t="shared" si="0"/>
        <v>0.16</v>
      </c>
      <c r="E9" s="25">
        <f t="shared" si="1"/>
        <v>2.9352024271484114E-2</v>
      </c>
      <c r="F9" s="25">
        <f t="shared" si="2"/>
        <v>0.18327728493566448</v>
      </c>
      <c r="G9" s="25">
        <f t="shared" si="3"/>
        <v>7.165139306759799E-3</v>
      </c>
    </row>
    <row r="10" spans="1:7" ht="15" thickBot="1">
      <c r="A10" s="21">
        <v>9</v>
      </c>
      <c r="B10" s="21">
        <v>90</v>
      </c>
      <c r="C10" s="21">
        <v>10</v>
      </c>
      <c r="D10" s="23">
        <f t="shared" si="0"/>
        <v>0.1111111111111111</v>
      </c>
      <c r="E10" s="25">
        <f t="shared" si="1"/>
        <v>3.0939750211478087E-2</v>
      </c>
      <c r="F10" s="25">
        <f t="shared" si="2"/>
        <v>0.1880404627556464</v>
      </c>
      <c r="G10" s="25">
        <f t="shared" si="3"/>
        <v>2.401961486777876E-3</v>
      </c>
    </row>
    <row r="11" spans="1:7" ht="15" thickBot="1">
      <c r="A11" s="21">
        <v>10</v>
      </c>
      <c r="B11" s="21">
        <v>90</v>
      </c>
      <c r="C11" s="21">
        <v>6</v>
      </c>
      <c r="D11" s="23">
        <f t="shared" si="0"/>
        <v>6.6666666666666666E-2</v>
      </c>
      <c r="E11" s="25">
        <f t="shared" si="1"/>
        <v>3.0939750211478087E-2</v>
      </c>
      <c r="F11" s="25">
        <f t="shared" si="2"/>
        <v>0.1880404627556464</v>
      </c>
      <c r="G11" s="25">
        <f t="shared" si="3"/>
        <v>2.401961486777876E-3</v>
      </c>
    </row>
    <row r="12" spans="1:7" ht="15" thickBot="1">
      <c r="A12" s="21">
        <v>11</v>
      </c>
      <c r="B12" s="21">
        <v>110</v>
      </c>
      <c r="C12" s="21">
        <v>20</v>
      </c>
      <c r="D12" s="23">
        <f t="shared" si="0"/>
        <v>0.18181818181818182</v>
      </c>
      <c r="E12" s="25">
        <f t="shared" si="1"/>
        <v>2.7986057061488715E-2</v>
      </c>
      <c r="F12" s="25">
        <f t="shared" si="2"/>
        <v>0.17917938330567829</v>
      </c>
      <c r="G12" s="25">
        <f t="shared" si="3"/>
        <v>1.1263040936745988E-2</v>
      </c>
    </row>
    <row r="13" spans="1:7" ht="15" thickBot="1">
      <c r="A13" s="21">
        <v>12</v>
      </c>
      <c r="B13" s="21">
        <v>120</v>
      </c>
      <c r="C13" s="21">
        <v>15</v>
      </c>
      <c r="D13" s="23">
        <f t="shared" si="0"/>
        <v>0.125</v>
      </c>
      <c r="E13" s="25">
        <f t="shared" si="1"/>
        <v>2.6794609669884981E-2</v>
      </c>
      <c r="F13" s="25">
        <f t="shared" si="2"/>
        <v>0.17560504113086708</v>
      </c>
      <c r="G13" s="25">
        <f t="shared" si="3"/>
        <v>1.483738311155719E-2</v>
      </c>
    </row>
    <row r="14" spans="1:7" ht="15" thickBot="1">
      <c r="A14" s="21">
        <v>13</v>
      </c>
      <c r="B14" s="21">
        <v>120</v>
      </c>
      <c r="C14" s="21">
        <v>9</v>
      </c>
      <c r="D14" s="23">
        <f t="shared" si="0"/>
        <v>7.4999999999999997E-2</v>
      </c>
      <c r="E14" s="25">
        <f t="shared" si="1"/>
        <v>2.6794609669884981E-2</v>
      </c>
      <c r="F14" s="25">
        <f t="shared" si="2"/>
        <v>0.17560504113086708</v>
      </c>
      <c r="G14" s="25">
        <f t="shared" si="3"/>
        <v>1.483738311155719E-2</v>
      </c>
    </row>
    <row r="15" spans="1:7" ht="15" thickBot="1">
      <c r="A15" s="21">
        <v>14</v>
      </c>
      <c r="B15" s="21">
        <v>120</v>
      </c>
      <c r="C15" s="21">
        <v>8</v>
      </c>
      <c r="D15" s="23">
        <f t="shared" si="0"/>
        <v>6.6666666666666666E-2</v>
      </c>
      <c r="E15" s="25">
        <f t="shared" si="1"/>
        <v>2.6794609669884981E-2</v>
      </c>
      <c r="F15" s="25">
        <f t="shared" si="2"/>
        <v>0.17560504113086708</v>
      </c>
      <c r="G15" s="25">
        <f t="shared" si="3"/>
        <v>1.483738311155719E-2</v>
      </c>
    </row>
    <row r="16" spans="1:7" ht="15" thickBot="1">
      <c r="A16" s="21">
        <v>15</v>
      </c>
      <c r="B16" s="21">
        <v>110</v>
      </c>
      <c r="C16" s="21">
        <v>6</v>
      </c>
      <c r="D16" s="23">
        <f t="shared" si="0"/>
        <v>5.4545454545454543E-2</v>
      </c>
      <c r="E16" s="25">
        <f t="shared" si="1"/>
        <v>2.7986057061488715E-2</v>
      </c>
      <c r="F16" s="25">
        <f t="shared" si="2"/>
        <v>0.17917938330567829</v>
      </c>
      <c r="G16" s="25">
        <f t="shared" si="3"/>
        <v>1.1263040936745988E-2</v>
      </c>
    </row>
    <row r="17" spans="1:7" ht="15" thickBot="1">
      <c r="A17" s="21">
        <v>16</v>
      </c>
      <c r="B17" s="21">
        <v>80</v>
      </c>
      <c r="C17" s="21">
        <v>8</v>
      </c>
      <c r="D17" s="23">
        <f t="shared" si="0"/>
        <v>0.1</v>
      </c>
      <c r="E17" s="25">
        <f t="shared" si="1"/>
        <v>3.2816560774131108E-2</v>
      </c>
      <c r="F17" s="25">
        <f t="shared" si="2"/>
        <v>0.19367089444360547</v>
      </c>
      <c r="G17" s="25">
        <f t="shared" si="3"/>
        <v>-3.22847020118118E-3</v>
      </c>
    </row>
    <row r="18" spans="1:7" ht="15" thickBot="1">
      <c r="A18" s="21">
        <v>17</v>
      </c>
      <c r="B18" s="21">
        <v>80</v>
      </c>
      <c r="C18" s="21">
        <v>10</v>
      </c>
      <c r="D18" s="23">
        <f t="shared" si="0"/>
        <v>0.125</v>
      </c>
      <c r="E18" s="25">
        <f t="shared" si="1"/>
        <v>3.2816560774131108E-2</v>
      </c>
      <c r="F18" s="25">
        <f t="shared" si="2"/>
        <v>0.19367089444360547</v>
      </c>
      <c r="G18" s="25">
        <f t="shared" si="3"/>
        <v>-3.22847020118118E-3</v>
      </c>
    </row>
    <row r="19" spans="1:7" ht="15" thickBot="1">
      <c r="A19" s="21">
        <v>18</v>
      </c>
      <c r="B19" s="21">
        <v>80</v>
      </c>
      <c r="C19" s="21">
        <v>7</v>
      </c>
      <c r="D19" s="23">
        <f t="shared" si="0"/>
        <v>8.7499999999999994E-2</v>
      </c>
      <c r="E19" s="25">
        <f t="shared" si="1"/>
        <v>3.2816560774131108E-2</v>
      </c>
      <c r="F19" s="25">
        <f t="shared" si="2"/>
        <v>0.19367089444360547</v>
      </c>
      <c r="G19" s="25">
        <f t="shared" si="3"/>
        <v>-3.22847020118118E-3</v>
      </c>
    </row>
    <row r="20" spans="1:7" ht="15" thickBot="1">
      <c r="A20" s="21">
        <v>19</v>
      </c>
      <c r="B20" s="21">
        <v>90</v>
      </c>
      <c r="C20" s="21">
        <v>5</v>
      </c>
      <c r="D20" s="23">
        <f t="shared" si="0"/>
        <v>5.5555555555555552E-2</v>
      </c>
      <c r="E20" s="25">
        <f t="shared" si="1"/>
        <v>3.0939750211478087E-2</v>
      </c>
      <c r="F20" s="25">
        <f t="shared" si="2"/>
        <v>0.1880404627556464</v>
      </c>
      <c r="G20" s="25">
        <f t="shared" si="3"/>
        <v>2.401961486777876E-3</v>
      </c>
    </row>
    <row r="21" spans="1:7" ht="15" thickBot="1">
      <c r="A21" s="21">
        <v>20</v>
      </c>
      <c r="B21" s="21">
        <v>100</v>
      </c>
      <c r="C21" s="21">
        <v>8</v>
      </c>
      <c r="D21" s="23">
        <f t="shared" si="0"/>
        <v>0.08</v>
      </c>
      <c r="E21" s="25">
        <f t="shared" si="1"/>
        <v>2.9352024271484114E-2</v>
      </c>
      <c r="F21" s="25">
        <f t="shared" si="2"/>
        <v>0.18327728493566448</v>
      </c>
      <c r="G21" s="25">
        <f t="shared" si="3"/>
        <v>7.165139306759799E-3</v>
      </c>
    </row>
    <row r="22" spans="1:7" ht="15" thickBot="1">
      <c r="A22" s="21">
        <v>21</v>
      </c>
      <c r="B22" s="21">
        <v>100</v>
      </c>
      <c r="C22" s="21">
        <v>5</v>
      </c>
      <c r="D22" s="23">
        <f t="shared" si="0"/>
        <v>0.05</v>
      </c>
      <c r="E22" s="25">
        <f t="shared" si="1"/>
        <v>2.9352024271484114E-2</v>
      </c>
      <c r="F22" s="25">
        <f t="shared" si="2"/>
        <v>0.18327728493566448</v>
      </c>
      <c r="G22" s="25">
        <f t="shared" si="3"/>
        <v>7.165139306759799E-3</v>
      </c>
    </row>
    <row r="23" spans="1:7" ht="15" thickBot="1">
      <c r="A23" s="21">
        <v>22</v>
      </c>
      <c r="B23" s="21">
        <v>100</v>
      </c>
      <c r="C23" s="21">
        <v>8</v>
      </c>
      <c r="D23" s="23">
        <f t="shared" si="0"/>
        <v>0.08</v>
      </c>
      <c r="E23" s="25">
        <f t="shared" si="1"/>
        <v>2.9352024271484114E-2</v>
      </c>
      <c r="F23" s="25">
        <f t="shared" si="2"/>
        <v>0.18327728493566448</v>
      </c>
      <c r="G23" s="25">
        <f t="shared" si="3"/>
        <v>7.165139306759799E-3</v>
      </c>
    </row>
    <row r="24" spans="1:7" ht="15" thickBot="1">
      <c r="A24" s="21">
        <v>23</v>
      </c>
      <c r="B24" s="21">
        <v>100</v>
      </c>
      <c r="C24" s="21">
        <v>10</v>
      </c>
      <c r="D24" s="23">
        <f t="shared" si="0"/>
        <v>0.1</v>
      </c>
      <c r="E24" s="25">
        <f t="shared" si="1"/>
        <v>2.9352024271484114E-2</v>
      </c>
      <c r="F24" s="25">
        <f t="shared" si="2"/>
        <v>0.18327728493566448</v>
      </c>
      <c r="G24" s="25">
        <f t="shared" si="3"/>
        <v>7.165139306759799E-3</v>
      </c>
    </row>
    <row r="25" spans="1:7" ht="15" thickBot="1">
      <c r="A25" s="21">
        <v>24</v>
      </c>
      <c r="B25" s="21">
        <v>90</v>
      </c>
      <c r="C25" s="21">
        <v>6</v>
      </c>
      <c r="D25" s="23">
        <f t="shared" si="0"/>
        <v>6.6666666666666666E-2</v>
      </c>
      <c r="E25" s="25">
        <f t="shared" si="1"/>
        <v>3.0939750211478087E-2</v>
      </c>
      <c r="F25" s="25">
        <f t="shared" si="2"/>
        <v>0.1880404627556464</v>
      </c>
      <c r="G25" s="25">
        <f t="shared" si="3"/>
        <v>2.401961486777876E-3</v>
      </c>
    </row>
    <row r="26" spans="1:7" ht="15" thickBot="1">
      <c r="A26" s="21">
        <v>25</v>
      </c>
      <c r="B26" s="21">
        <v>90</v>
      </c>
      <c r="C26" s="21">
        <v>9</v>
      </c>
      <c r="D26" s="23">
        <f t="shared" si="0"/>
        <v>0.1</v>
      </c>
      <c r="E26" s="25">
        <f t="shared" si="1"/>
        <v>3.0939750211478087E-2</v>
      </c>
      <c r="F26" s="25">
        <f t="shared" si="2"/>
        <v>0.1880404627556464</v>
      </c>
      <c r="G26" s="25">
        <f t="shared" si="3"/>
        <v>2.401961486777876E-3</v>
      </c>
    </row>
    <row r="27" spans="1:7" ht="42" thickBot="1">
      <c r="A27" s="19" t="s">
        <v>56</v>
      </c>
      <c r="B27" s="19">
        <f>SUM(B2:B26)</f>
        <v>2450</v>
      </c>
      <c r="C27" s="19">
        <f>SUM(C2:C26)</f>
        <v>234</v>
      </c>
      <c r="D27" s="24">
        <f>SUM(D2:D26)</f>
        <v>2.3805303030303033</v>
      </c>
    </row>
    <row r="29" spans="1:7">
      <c r="D29" t="s">
        <v>62</v>
      </c>
    </row>
    <row r="30" spans="1:7">
      <c r="D30" s="25">
        <f>AVERAGE(D2:D26)</f>
        <v>9.5221212121212137E-2</v>
      </c>
    </row>
    <row r="31" spans="1:7">
      <c r="D31" s="25">
        <f>1-D30</f>
        <v>0.90477878787878785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18ED-75B3-4498-A4B1-048942345613}">
  <dimension ref="A1:B27"/>
  <sheetViews>
    <sheetView topLeftCell="A13" workbookViewId="0">
      <selection activeCell="B2" sqref="B2:B27"/>
    </sheetView>
  </sheetViews>
  <sheetFormatPr defaultRowHeight="14.4"/>
  <cols>
    <col min="1" max="2" width="17.6640625" customWidth="1"/>
  </cols>
  <sheetData>
    <row r="1" spans="1:2" ht="42" thickBot="1">
      <c r="A1" s="19" t="s">
        <v>53</v>
      </c>
      <c r="B1" s="20" t="s">
        <v>63</v>
      </c>
    </row>
    <row r="2" spans="1:2" ht="15" thickBot="1">
      <c r="A2" s="21">
        <v>1</v>
      </c>
      <c r="B2" s="22">
        <v>21</v>
      </c>
    </row>
    <row r="3" spans="1:2" ht="15" thickBot="1">
      <c r="A3" s="21">
        <v>2</v>
      </c>
      <c r="B3" s="22">
        <v>24</v>
      </c>
    </row>
    <row r="4" spans="1:2" ht="15" thickBot="1">
      <c r="A4" s="21">
        <v>3</v>
      </c>
      <c r="B4" s="22">
        <v>16</v>
      </c>
    </row>
    <row r="5" spans="1:2" ht="15" thickBot="1">
      <c r="A5" s="21">
        <v>4</v>
      </c>
      <c r="B5" s="22">
        <v>12</v>
      </c>
    </row>
    <row r="6" spans="1:2" ht="15" thickBot="1">
      <c r="A6" s="21">
        <v>5</v>
      </c>
      <c r="B6" s="22">
        <v>15</v>
      </c>
    </row>
    <row r="7" spans="1:2" ht="15" thickBot="1">
      <c r="A7" s="21">
        <v>6</v>
      </c>
      <c r="B7" s="22">
        <v>5</v>
      </c>
    </row>
    <row r="8" spans="1:2" ht="15" thickBot="1">
      <c r="A8" s="21">
        <v>7</v>
      </c>
      <c r="B8" s="22">
        <v>28</v>
      </c>
    </row>
    <row r="9" spans="1:2" ht="15" thickBot="1">
      <c r="A9" s="21">
        <v>8</v>
      </c>
      <c r="B9" s="22">
        <v>20</v>
      </c>
    </row>
    <row r="10" spans="1:2" ht="15" thickBot="1">
      <c r="A10" s="21">
        <v>9</v>
      </c>
      <c r="B10" s="22">
        <v>31</v>
      </c>
    </row>
    <row r="11" spans="1:2" ht="15" thickBot="1">
      <c r="A11" s="21">
        <v>10</v>
      </c>
      <c r="B11" s="22">
        <v>25</v>
      </c>
    </row>
    <row r="12" spans="1:2" ht="15" thickBot="1">
      <c r="A12" s="21">
        <v>11</v>
      </c>
      <c r="B12" s="22">
        <v>20</v>
      </c>
    </row>
    <row r="13" spans="1:2" ht="15" thickBot="1">
      <c r="A13" s="21">
        <v>12</v>
      </c>
      <c r="B13" s="22">
        <v>24</v>
      </c>
    </row>
    <row r="14" spans="1:2" ht="15" thickBot="1">
      <c r="A14" s="21">
        <v>13</v>
      </c>
      <c r="B14" s="22">
        <v>16</v>
      </c>
    </row>
    <row r="15" spans="1:2" ht="15" thickBot="1">
      <c r="A15" s="21">
        <v>14</v>
      </c>
      <c r="B15" s="22">
        <v>19</v>
      </c>
    </row>
    <row r="16" spans="1:2" ht="15" thickBot="1">
      <c r="A16" s="21">
        <v>15</v>
      </c>
      <c r="B16" s="22">
        <v>10</v>
      </c>
    </row>
    <row r="17" spans="1:2" ht="15" thickBot="1">
      <c r="A17" s="21">
        <v>16</v>
      </c>
      <c r="B17" s="22">
        <v>17</v>
      </c>
    </row>
    <row r="18" spans="1:2" ht="15" thickBot="1">
      <c r="A18" s="21">
        <v>17</v>
      </c>
      <c r="B18" s="22">
        <v>13</v>
      </c>
    </row>
    <row r="19" spans="1:2" ht="15" thickBot="1">
      <c r="A19" s="21">
        <v>18</v>
      </c>
      <c r="B19" s="22">
        <v>22</v>
      </c>
    </row>
    <row r="20" spans="1:2" ht="15" thickBot="1">
      <c r="A20" s="21">
        <v>19</v>
      </c>
      <c r="B20" s="22">
        <v>18</v>
      </c>
    </row>
    <row r="21" spans="1:2" ht="15" thickBot="1">
      <c r="A21" s="21">
        <v>20</v>
      </c>
      <c r="B21" s="22">
        <v>39</v>
      </c>
    </row>
    <row r="22" spans="1:2" ht="15" thickBot="1">
      <c r="A22" s="21">
        <v>21</v>
      </c>
      <c r="B22" s="22">
        <v>30</v>
      </c>
    </row>
    <row r="23" spans="1:2" ht="15" thickBot="1">
      <c r="A23" s="21">
        <v>22</v>
      </c>
      <c r="B23" s="22">
        <v>24</v>
      </c>
    </row>
    <row r="24" spans="1:2" ht="15" thickBot="1">
      <c r="A24" s="21">
        <v>23</v>
      </c>
      <c r="B24" s="22">
        <v>16</v>
      </c>
    </row>
    <row r="25" spans="1:2" ht="15" thickBot="1">
      <c r="A25" s="21">
        <v>24</v>
      </c>
      <c r="B25" s="22">
        <v>19</v>
      </c>
    </row>
    <row r="26" spans="1:2" ht="15" thickBot="1">
      <c r="A26" s="21">
        <v>25</v>
      </c>
      <c r="B26" s="22">
        <v>17</v>
      </c>
    </row>
    <row r="27" spans="1:2" ht="15" thickBot="1">
      <c r="A27" s="21">
        <v>26</v>
      </c>
      <c r="B27" s="22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F900-428E-4144-BB26-C16DCDE15BED}">
  <dimension ref="A1:G27"/>
  <sheetViews>
    <sheetView tabSelected="1" workbookViewId="0">
      <selection activeCell="E30" sqref="E30"/>
    </sheetView>
  </sheetViews>
  <sheetFormatPr defaultRowHeight="14.4"/>
  <cols>
    <col min="1" max="4" width="22.6640625" customWidth="1"/>
  </cols>
  <sheetData>
    <row r="1" spans="1:7" ht="28.2" thickBot="1">
      <c r="A1" s="19" t="s">
        <v>53</v>
      </c>
      <c r="B1" s="19" t="s">
        <v>64</v>
      </c>
      <c r="C1" s="19" t="s">
        <v>65</v>
      </c>
      <c r="D1" s="20" t="s">
        <v>66</v>
      </c>
      <c r="E1" s="26" t="s">
        <v>67</v>
      </c>
      <c r="F1" s="26" t="s">
        <v>36</v>
      </c>
      <c r="G1" s="26" t="s">
        <v>37</v>
      </c>
    </row>
    <row r="2" spans="1:7" ht="15" thickBot="1">
      <c r="A2" s="21">
        <v>1</v>
      </c>
      <c r="B2" s="21">
        <v>100</v>
      </c>
      <c r="C2" s="21">
        <v>18</v>
      </c>
      <c r="D2" s="22">
        <v>0.18</v>
      </c>
      <c r="E2">
        <f>SQRT($D$27/B2)</f>
        <v>4.4181444068749041E-2</v>
      </c>
      <c r="F2" s="25">
        <f>$D$27+(3*E2)</f>
        <v>0.3277443322062471</v>
      </c>
      <c r="G2" s="25">
        <f>$D$27-(3*E2)</f>
        <v>6.2655667793752867E-2</v>
      </c>
    </row>
    <row r="3" spans="1:7" ht="15" thickBot="1">
      <c r="A3" s="21">
        <v>2</v>
      </c>
      <c r="B3" s="21">
        <v>100</v>
      </c>
      <c r="C3" s="21">
        <v>22</v>
      </c>
      <c r="D3" s="22">
        <v>0.22</v>
      </c>
      <c r="E3">
        <f t="shared" ref="E3:E26" si="0">SQRT($D$27/B3)</f>
        <v>4.4181444068749041E-2</v>
      </c>
      <c r="F3" s="25">
        <f t="shared" ref="F3:F26" si="1">$D$27+(3*E3)</f>
        <v>0.3277443322062471</v>
      </c>
      <c r="G3" s="25">
        <f t="shared" ref="G3:G26" si="2">$D$27-(3*E3)</f>
        <v>6.2655667793752867E-2</v>
      </c>
    </row>
    <row r="4" spans="1:7" ht="15" thickBot="1">
      <c r="A4" s="21">
        <v>3</v>
      </c>
      <c r="B4" s="21">
        <v>90</v>
      </c>
      <c r="C4" s="21">
        <v>15</v>
      </c>
      <c r="D4" s="22">
        <v>0.17</v>
      </c>
      <c r="E4">
        <f t="shared" si="0"/>
        <v>4.6571331190861279E-2</v>
      </c>
      <c r="F4" s="25">
        <f t="shared" si="1"/>
        <v>0.33491399357258383</v>
      </c>
      <c r="G4" s="25">
        <f t="shared" si="2"/>
        <v>5.5486006427416135E-2</v>
      </c>
    </row>
    <row r="5" spans="1:7" ht="15" thickBot="1">
      <c r="A5" s="21">
        <v>4</v>
      </c>
      <c r="B5" s="21">
        <v>110</v>
      </c>
      <c r="C5" s="21">
        <v>25</v>
      </c>
      <c r="D5" s="22">
        <v>0.23</v>
      </c>
      <c r="E5">
        <f t="shared" si="0"/>
        <v>4.2125354058398776E-2</v>
      </c>
      <c r="F5" s="25">
        <f t="shared" si="1"/>
        <v>0.3215760621751963</v>
      </c>
      <c r="G5" s="25">
        <f t="shared" si="2"/>
        <v>6.8823937824803672E-2</v>
      </c>
    </row>
    <row r="6" spans="1:7" ht="15" thickBot="1">
      <c r="A6" s="21">
        <v>5</v>
      </c>
      <c r="B6" s="21">
        <v>100</v>
      </c>
      <c r="C6" s="21">
        <v>12</v>
      </c>
      <c r="D6" s="22">
        <v>0.12</v>
      </c>
      <c r="E6">
        <f t="shared" si="0"/>
        <v>4.4181444068749041E-2</v>
      </c>
      <c r="F6" s="25">
        <f t="shared" si="1"/>
        <v>0.3277443322062471</v>
      </c>
      <c r="G6" s="25">
        <f t="shared" si="2"/>
        <v>6.2655667793752867E-2</v>
      </c>
    </row>
    <row r="7" spans="1:7" ht="15" thickBot="1">
      <c r="A7" s="21">
        <v>6</v>
      </c>
      <c r="B7" s="21">
        <v>100</v>
      </c>
      <c r="C7" s="21">
        <v>19</v>
      </c>
      <c r="D7" s="22">
        <v>0.19</v>
      </c>
      <c r="E7">
        <f t="shared" si="0"/>
        <v>4.4181444068749041E-2</v>
      </c>
      <c r="F7" s="25">
        <f t="shared" si="1"/>
        <v>0.3277443322062471</v>
      </c>
      <c r="G7" s="25">
        <f t="shared" si="2"/>
        <v>6.2655667793752867E-2</v>
      </c>
    </row>
    <row r="8" spans="1:7" ht="15" thickBot="1">
      <c r="A8" s="21">
        <v>7</v>
      </c>
      <c r="B8" s="21">
        <v>95</v>
      </c>
      <c r="C8" s="21">
        <v>20</v>
      </c>
      <c r="D8" s="22">
        <v>0.21</v>
      </c>
      <c r="E8">
        <f t="shared" si="0"/>
        <v>4.5329205178397544E-2</v>
      </c>
      <c r="F8" s="25">
        <f t="shared" si="1"/>
        <v>0.3311876155351926</v>
      </c>
      <c r="G8" s="25">
        <f t="shared" si="2"/>
        <v>5.9212384464807366E-2</v>
      </c>
    </row>
    <row r="9" spans="1:7" ht="15" thickBot="1">
      <c r="A9" s="21">
        <v>8</v>
      </c>
      <c r="B9" s="21">
        <v>105</v>
      </c>
      <c r="C9" s="21">
        <v>24</v>
      </c>
      <c r="D9" s="22">
        <v>0.23</v>
      </c>
      <c r="E9">
        <f t="shared" si="0"/>
        <v>4.3116674489663727E-2</v>
      </c>
      <c r="F9" s="25">
        <f t="shared" si="1"/>
        <v>0.3245500234689912</v>
      </c>
      <c r="G9" s="25">
        <f t="shared" si="2"/>
        <v>6.5849976531008797E-2</v>
      </c>
    </row>
    <row r="10" spans="1:7" ht="15" thickBot="1">
      <c r="A10" s="21">
        <v>9</v>
      </c>
      <c r="B10" s="21">
        <v>100</v>
      </c>
      <c r="C10" s="21">
        <v>30</v>
      </c>
      <c r="D10" s="22">
        <v>0.3</v>
      </c>
      <c r="E10">
        <f t="shared" si="0"/>
        <v>4.4181444068749041E-2</v>
      </c>
      <c r="F10" s="25">
        <f t="shared" si="1"/>
        <v>0.3277443322062471</v>
      </c>
      <c r="G10" s="25">
        <f t="shared" si="2"/>
        <v>6.2655667793752867E-2</v>
      </c>
    </row>
    <row r="11" spans="1:7" ht="15" thickBot="1">
      <c r="A11" s="21">
        <v>10</v>
      </c>
      <c r="B11" s="21">
        <v>100</v>
      </c>
      <c r="C11" s="21">
        <v>17</v>
      </c>
      <c r="D11" s="22">
        <v>0.17</v>
      </c>
      <c r="E11">
        <f t="shared" si="0"/>
        <v>4.4181444068749041E-2</v>
      </c>
      <c r="F11" s="25">
        <f t="shared" si="1"/>
        <v>0.3277443322062471</v>
      </c>
      <c r="G11" s="25">
        <f t="shared" si="2"/>
        <v>6.2655667793752867E-2</v>
      </c>
    </row>
    <row r="12" spans="1:7" ht="15" thickBot="1">
      <c r="A12" s="21">
        <v>11</v>
      </c>
      <c r="B12" s="21">
        <v>90</v>
      </c>
      <c r="C12" s="21">
        <v>14</v>
      </c>
      <c r="D12" s="22">
        <v>0.16</v>
      </c>
      <c r="E12">
        <f t="shared" si="0"/>
        <v>4.6571331190861279E-2</v>
      </c>
      <c r="F12" s="25">
        <f t="shared" si="1"/>
        <v>0.33491399357258383</v>
      </c>
      <c r="G12" s="25">
        <f t="shared" si="2"/>
        <v>5.5486006427416135E-2</v>
      </c>
    </row>
    <row r="13" spans="1:7" ht="15" thickBot="1">
      <c r="A13" s="21">
        <v>12</v>
      </c>
      <c r="B13" s="21">
        <v>110</v>
      </c>
      <c r="C13" s="21">
        <v>22</v>
      </c>
      <c r="D13" s="22">
        <v>0.2</v>
      </c>
      <c r="E13">
        <f t="shared" si="0"/>
        <v>4.2125354058398776E-2</v>
      </c>
      <c r="F13" s="25">
        <f t="shared" si="1"/>
        <v>0.3215760621751963</v>
      </c>
      <c r="G13" s="25">
        <f t="shared" si="2"/>
        <v>6.8823937824803672E-2</v>
      </c>
    </row>
    <row r="14" spans="1:7" ht="15" thickBot="1">
      <c r="A14" s="21">
        <v>13</v>
      </c>
      <c r="B14" s="21">
        <v>100</v>
      </c>
      <c r="C14" s="21">
        <v>16</v>
      </c>
      <c r="D14" s="22">
        <v>0.16</v>
      </c>
      <c r="E14">
        <f t="shared" si="0"/>
        <v>4.4181444068749041E-2</v>
      </c>
      <c r="F14" s="25">
        <f t="shared" si="1"/>
        <v>0.3277443322062471</v>
      </c>
      <c r="G14" s="25">
        <f t="shared" si="2"/>
        <v>6.2655667793752867E-2</v>
      </c>
    </row>
    <row r="15" spans="1:7" ht="15" thickBot="1">
      <c r="A15" s="21">
        <v>14</v>
      </c>
      <c r="B15" s="21">
        <v>100</v>
      </c>
      <c r="C15" s="21">
        <v>21</v>
      </c>
      <c r="D15" s="22">
        <v>0.21</v>
      </c>
      <c r="E15">
        <f t="shared" si="0"/>
        <v>4.4181444068749041E-2</v>
      </c>
      <c r="F15" s="25">
        <f t="shared" si="1"/>
        <v>0.3277443322062471</v>
      </c>
      <c r="G15" s="25">
        <f t="shared" si="2"/>
        <v>6.2655667793752867E-2</v>
      </c>
    </row>
    <row r="16" spans="1:7" ht="15" thickBot="1">
      <c r="A16" s="21">
        <v>15</v>
      </c>
      <c r="B16" s="21">
        <v>95</v>
      </c>
      <c r="C16" s="21">
        <v>18</v>
      </c>
      <c r="D16" s="22">
        <v>0.19</v>
      </c>
      <c r="E16">
        <f t="shared" si="0"/>
        <v>4.5329205178397544E-2</v>
      </c>
      <c r="F16" s="25">
        <f t="shared" si="1"/>
        <v>0.3311876155351926</v>
      </c>
      <c r="G16" s="25">
        <f t="shared" si="2"/>
        <v>5.9212384464807366E-2</v>
      </c>
    </row>
    <row r="17" spans="1:7" ht="15" thickBot="1">
      <c r="A17" s="21">
        <v>16</v>
      </c>
      <c r="B17" s="21">
        <v>105</v>
      </c>
      <c r="C17" s="21">
        <v>26</v>
      </c>
      <c r="D17" s="22">
        <v>0.25</v>
      </c>
      <c r="E17">
        <f t="shared" si="0"/>
        <v>4.3116674489663727E-2</v>
      </c>
      <c r="F17" s="25">
        <f t="shared" si="1"/>
        <v>0.3245500234689912</v>
      </c>
      <c r="G17" s="25">
        <f t="shared" si="2"/>
        <v>6.5849976531008797E-2</v>
      </c>
    </row>
    <row r="18" spans="1:7" ht="15" thickBot="1">
      <c r="A18" s="21">
        <v>17</v>
      </c>
      <c r="B18" s="21">
        <v>100</v>
      </c>
      <c r="C18" s="21">
        <v>19</v>
      </c>
      <c r="D18" s="22">
        <v>0.19</v>
      </c>
      <c r="E18">
        <f t="shared" si="0"/>
        <v>4.4181444068749041E-2</v>
      </c>
      <c r="F18" s="25">
        <f t="shared" si="1"/>
        <v>0.3277443322062471</v>
      </c>
      <c r="G18" s="25">
        <f t="shared" si="2"/>
        <v>6.2655667793752867E-2</v>
      </c>
    </row>
    <row r="19" spans="1:7" ht="15" thickBot="1">
      <c r="A19" s="21">
        <v>18</v>
      </c>
      <c r="B19" s="21">
        <v>100</v>
      </c>
      <c r="C19" s="21">
        <v>13</v>
      </c>
      <c r="D19" s="22">
        <v>0.13</v>
      </c>
      <c r="E19">
        <f t="shared" si="0"/>
        <v>4.4181444068749041E-2</v>
      </c>
      <c r="F19" s="25">
        <f t="shared" si="1"/>
        <v>0.3277443322062471</v>
      </c>
      <c r="G19" s="25">
        <f t="shared" si="2"/>
        <v>6.2655667793752867E-2</v>
      </c>
    </row>
    <row r="20" spans="1:7" ht="15" thickBot="1">
      <c r="A20" s="21">
        <v>19</v>
      </c>
      <c r="B20" s="21">
        <v>90</v>
      </c>
      <c r="C20" s="21">
        <v>12</v>
      </c>
      <c r="D20" s="22">
        <v>0.13</v>
      </c>
      <c r="E20">
        <f t="shared" si="0"/>
        <v>4.6571331190861279E-2</v>
      </c>
      <c r="F20" s="25">
        <f t="shared" si="1"/>
        <v>0.33491399357258383</v>
      </c>
      <c r="G20" s="25">
        <f t="shared" si="2"/>
        <v>5.5486006427416135E-2</v>
      </c>
    </row>
    <row r="21" spans="1:7" ht="15" thickBot="1">
      <c r="A21" s="21">
        <v>20</v>
      </c>
      <c r="B21" s="21">
        <v>110</v>
      </c>
      <c r="C21" s="21">
        <v>35</v>
      </c>
      <c r="D21" s="22">
        <v>0.32</v>
      </c>
      <c r="E21">
        <f t="shared" si="0"/>
        <v>4.2125354058398776E-2</v>
      </c>
      <c r="F21" s="25">
        <f t="shared" si="1"/>
        <v>0.3215760621751963</v>
      </c>
      <c r="G21" s="25">
        <f t="shared" si="2"/>
        <v>6.8823937824803672E-2</v>
      </c>
    </row>
    <row r="22" spans="1:7" ht="15" thickBot="1">
      <c r="A22" s="21">
        <v>21</v>
      </c>
      <c r="B22" s="21">
        <v>100</v>
      </c>
      <c r="C22" s="21">
        <v>20</v>
      </c>
      <c r="D22" s="22">
        <v>0.2</v>
      </c>
      <c r="E22">
        <f t="shared" si="0"/>
        <v>4.4181444068749041E-2</v>
      </c>
      <c r="F22" s="25">
        <f t="shared" si="1"/>
        <v>0.3277443322062471</v>
      </c>
      <c r="G22" s="25">
        <f t="shared" si="2"/>
        <v>6.2655667793752867E-2</v>
      </c>
    </row>
    <row r="23" spans="1:7" ht="15" thickBot="1">
      <c r="A23" s="21">
        <v>22</v>
      </c>
      <c r="B23" s="21">
        <v>100</v>
      </c>
      <c r="C23" s="21">
        <v>18</v>
      </c>
      <c r="D23" s="22">
        <v>0.18</v>
      </c>
      <c r="E23">
        <f t="shared" si="0"/>
        <v>4.4181444068749041E-2</v>
      </c>
      <c r="F23" s="25">
        <f t="shared" si="1"/>
        <v>0.3277443322062471</v>
      </c>
      <c r="G23" s="25">
        <f t="shared" si="2"/>
        <v>6.2655667793752867E-2</v>
      </c>
    </row>
    <row r="24" spans="1:7" ht="15" thickBot="1">
      <c r="A24" s="21">
        <v>23</v>
      </c>
      <c r="B24" s="21">
        <v>95</v>
      </c>
      <c r="C24" s="21">
        <v>15</v>
      </c>
      <c r="D24" s="22">
        <v>0.16</v>
      </c>
      <c r="E24">
        <f t="shared" si="0"/>
        <v>4.5329205178397544E-2</v>
      </c>
      <c r="F24" s="25">
        <f t="shared" si="1"/>
        <v>0.3311876155351926</v>
      </c>
      <c r="G24" s="25">
        <f t="shared" si="2"/>
        <v>5.9212384464807366E-2</v>
      </c>
    </row>
    <row r="25" spans="1:7" ht="15" thickBot="1">
      <c r="A25" s="21">
        <v>24</v>
      </c>
      <c r="B25" s="21">
        <v>105</v>
      </c>
      <c r="C25" s="21">
        <v>22</v>
      </c>
      <c r="D25" s="22">
        <v>0.21</v>
      </c>
      <c r="E25">
        <f t="shared" si="0"/>
        <v>4.3116674489663727E-2</v>
      </c>
      <c r="F25" s="25">
        <f t="shared" si="1"/>
        <v>0.3245500234689912</v>
      </c>
      <c r="G25" s="25">
        <f t="shared" si="2"/>
        <v>6.5849976531008797E-2</v>
      </c>
    </row>
    <row r="26" spans="1:7" ht="15" thickBot="1">
      <c r="A26" s="21">
        <v>25</v>
      </c>
      <c r="B26" s="21">
        <v>100</v>
      </c>
      <c r="C26" s="21">
        <v>17</v>
      </c>
      <c r="D26" s="22">
        <v>0.17</v>
      </c>
      <c r="E26">
        <f t="shared" si="0"/>
        <v>4.4181444068749041E-2</v>
      </c>
      <c r="F26" s="25">
        <f t="shared" si="1"/>
        <v>0.3277443322062471</v>
      </c>
      <c r="G26" s="25">
        <f t="shared" si="2"/>
        <v>6.2655667793752867E-2</v>
      </c>
    </row>
    <row r="27" spans="1:7">
      <c r="D27">
        <f>AVERAGE(D2:D26)</f>
        <v>0.19519999999999998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CUSUM Chart</vt:lpstr>
      <vt:lpstr>xbar </vt:lpstr>
      <vt:lpstr>MR Chart</vt:lpstr>
      <vt:lpstr>pchart</vt:lpstr>
      <vt:lpstr>np chart</vt:lpstr>
      <vt:lpstr>cchart</vt:lpstr>
      <vt:lpstr>uchart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d36580</dc:creator>
  <cp:lastModifiedBy>d36580</cp:lastModifiedBy>
  <dcterms:created xsi:type="dcterms:W3CDTF">2026-04-26T01:31:18Z</dcterms:created>
  <dcterms:modified xsi:type="dcterms:W3CDTF">2026-05-02T05:20:18Z</dcterms:modified>
</cp:coreProperties>
</file>